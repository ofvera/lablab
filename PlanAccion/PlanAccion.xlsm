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octavio/Documents/Lablab/Proyectos/PlanAccion/"/>
    </mc:Choice>
  </mc:AlternateContent>
  <xr:revisionPtr revIDLastSave="0" documentId="13_ncr:1_{9F614E7B-12D2-0743-956A-6DEBCACE1945}" xr6:coauthVersionLast="45" xr6:coauthVersionMax="45" xr10:uidLastSave="{00000000-0000-0000-0000-000000000000}"/>
  <bookViews>
    <workbookView xWindow="0" yWindow="460" windowWidth="33600" windowHeight="19460" activeTab="1" xr2:uid="{00000000-000D-0000-FFFF-FFFF00000000}"/>
  </bookViews>
  <sheets>
    <sheet name="Plan de Acción" sheetId="2" r:id="rId1"/>
    <sheet name="Plan DB" sheetId="3" r:id="rId2"/>
    <sheet name="Acciones DB" sheetId="4" r:id="rId3"/>
  </sheets>
  <externalReferences>
    <externalReference r:id="rId4"/>
  </externalReferences>
  <calcPr calcId="191029"/>
  <pivotCaches>
    <pivotCache cacheId="306" r:id="rId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64" i="2" l="1"/>
  <c r="F63" i="2"/>
  <c r="F62" i="2"/>
  <c r="F61" i="2"/>
  <c r="F60" i="2"/>
  <c r="D7" i="3"/>
  <c r="G2" i="3" l="1"/>
  <c r="F2" i="3"/>
  <c r="F79" i="2" l="1"/>
  <c r="F78" i="2"/>
  <c r="F77" i="2"/>
  <c r="F76" i="2"/>
  <c r="F75" i="2"/>
  <c r="F74" i="2"/>
  <c r="F73" i="2"/>
  <c r="F72" i="2"/>
  <c r="F71" i="2"/>
  <c r="F70" i="2"/>
  <c r="F69" i="2"/>
  <c r="F68" i="2"/>
  <c r="F67" i="2"/>
  <c r="F66" i="2"/>
  <c r="F65" i="2"/>
  <c r="K4" i="2" l="1" a="1"/>
  <c r="K4" i="2" s="1"/>
  <c r="B2" i="3"/>
  <c r="E2" i="3" l="1"/>
  <c r="D2" i="3"/>
  <c r="H2" i="3"/>
  <c r="I2" i="3"/>
  <c r="J2" i="3"/>
  <c r="K2" i="3"/>
  <c r="L2" i="3"/>
  <c r="C2" i="3"/>
  <c r="D5" i="2" l="1" a="1"/>
  <c r="D5" i="2" s="1"/>
  <c r="L6" i="2" a="1"/>
  <c r="L6" i="2" s="1"/>
  <c r="D6" i="2" a="1"/>
  <c r="D6" i="2" s="1"/>
  <c r="D4" i="2" l="1" a="1"/>
  <c r="D4" i="2" s="1"/>
  <c r="B13" i="2" a="1"/>
  <c r="B13" i="2" s="1"/>
  <c r="B15" i="2" a="1"/>
  <c r="B15" i="2" s="1"/>
  <c r="B16" i="2" a="1"/>
  <c r="B16" i="2" s="1"/>
  <c r="B14" i="2" a="1"/>
  <c r="B14" i="2" s="1"/>
  <c r="B17" i="2" a="1"/>
  <c r="B17" i="2" s="1"/>
  <c r="Q2" i="3" l="1"/>
  <c r="E17" i="2" s="1" a="1"/>
  <c r="E17" i="2" s="1"/>
  <c r="N2" i="3"/>
  <c r="E14" i="2" s="1" a="1"/>
  <c r="E14" i="2" s="1"/>
  <c r="P2" i="3"/>
  <c r="E16" i="2" s="1" a="1"/>
  <c r="E16" i="2" s="1"/>
  <c r="M2" i="3"/>
  <c r="E13" i="2" s="1" a="1"/>
  <c r="E13" i="2" s="1"/>
  <c r="O2" i="3"/>
  <c r="E15" i="2" s="1" a="1"/>
  <c r="E15" i="2" s="1"/>
  <c r="R2" i="3" l="1"/>
  <c r="B22" i="2" s="1"/>
  <c r="S2" i="3"/>
  <c r="B26" i="2" s="1"/>
  <c r="U2" i="3"/>
  <c r="H26" i="2" s="1"/>
  <c r="T2" i="3"/>
  <c r="H22" i="2" l="1"/>
  <c r="Y2" i="3" l="1"/>
  <c r="L16" i="2" s="1"/>
  <c r="X2" i="3"/>
  <c r="J16" i="2" s="1"/>
  <c r="W2" i="3"/>
  <c r="L13" i="2" s="1"/>
  <c r="V2" i="3"/>
  <c r="J13" i="2" s="1"/>
  <c r="AB2" i="3" l="1"/>
  <c r="I13" i="2" s="1"/>
  <c r="AC2" i="3"/>
  <c r="I16" i="2" s="1"/>
  <c r="AA2" i="3" l="1"/>
  <c r="H16" i="2" s="1"/>
  <c r="Z2" i="3"/>
  <c r="H13"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<sst xmlns="http://schemas.openxmlformats.org/spreadsheetml/2006/main" count="289" uniqueCount="242">
  <si>
    <t>PLAN DE ACCIÓN</t>
  </si>
  <si>
    <t>CARGOS U ORGANIZACIONES QUE QUIERO ALCANZAR</t>
  </si>
  <si>
    <t>OBJETIVOS LABORALES</t>
  </si>
  <si>
    <t>USO DE HERRAMIENTAS</t>
  </si>
  <si>
    <t>ORIENTACIÓN A LOS RESULTADOS</t>
  </si>
  <si>
    <t>¿En cuánto tiempo te gustaría encontrar trabajo?</t>
  </si>
  <si>
    <t>¿Cuándo quieres comenzar con las actividades del plan de acción?</t>
  </si>
  <si>
    <t>Después de un mes</t>
  </si>
  <si>
    <t>Después de 2 meses</t>
  </si>
  <si>
    <t>Después de 3 meses</t>
  </si>
  <si>
    <t>No tengo urgencia</t>
  </si>
  <si>
    <t>MATRIZ DE ANÁLISIS</t>
  </si>
  <si>
    <t>FORTALEZAS CONOCIDAS</t>
  </si>
  <si>
    <t>OPORTUNIDADES DE MEJORA A CORTO PLAZO</t>
  </si>
  <si>
    <t>FORTALEZAS DESCONOCIDAS</t>
  </si>
  <si>
    <t>OPORTUNIDADES DE MEJORA A LARGO PLAZO</t>
  </si>
  <si>
    <t>ACCIONES</t>
  </si>
  <si>
    <t>ACTIVIDAD</t>
  </si>
  <si>
    <t>TAREAS</t>
  </si>
  <si>
    <t>NIVEL DE LOGRO</t>
  </si>
  <si>
    <t>¿Cada cuanto tiempo quieres revisar en conjunto el estado avance de tu plan?</t>
  </si>
  <si>
    <t>Cada una semana</t>
  </si>
  <si>
    <t>Una vez al mes</t>
  </si>
  <si>
    <t>PLAN DE SEGUIMIENTO</t>
  </si>
  <si>
    <t>DEPÓSITO DE LOGROS</t>
  </si>
  <si>
    <t>RUT</t>
  </si>
  <si>
    <t>NOMBRE</t>
  </si>
  <si>
    <t>PROFESION</t>
  </si>
  <si>
    <t>ULTIMA INSTITUCION ACADEMICA</t>
  </si>
  <si>
    <t>COACH</t>
  </si>
  <si>
    <t>FECHA DE ENTRADA</t>
  </si>
  <si>
    <t>CARGO1</t>
  </si>
  <si>
    <t>CARGO2</t>
  </si>
  <si>
    <t>CARGO3</t>
  </si>
  <si>
    <t>CARGO4</t>
  </si>
  <si>
    <t>CARGO5</t>
  </si>
  <si>
    <t>EMPRESA1</t>
  </si>
  <si>
    <t>EMPRESA2</t>
  </si>
  <si>
    <t>EMPRESA3</t>
  </si>
  <si>
    <t>EMPRESA4</t>
  </si>
  <si>
    <t>EMPRESA5</t>
  </si>
  <si>
    <t>UID</t>
  </si>
  <si>
    <t>Fecha de creacion:</t>
  </si>
  <si>
    <t xml:space="preserve">Fecha de entrada: </t>
  </si>
  <si>
    <t>Fortalezas Conocidas</t>
  </si>
  <si>
    <t>Fortalezas Desconocidas</t>
  </si>
  <si>
    <t>Oportunidades mejora largo plazo</t>
  </si>
  <si>
    <t>Oportunidades mejora corto plazo</t>
  </si>
  <si>
    <t>Plan</t>
  </si>
  <si>
    <t>Objetivo</t>
  </si>
  <si>
    <t>Tarea 1</t>
  </si>
  <si>
    <t>Tarea 2</t>
  </si>
  <si>
    <t>Tarea 3</t>
  </si>
  <si>
    <t>Tarea 4</t>
  </si>
  <si>
    <t>Tarea 5</t>
  </si>
  <si>
    <t>Creación Networking</t>
  </si>
  <si>
    <t>Revisión de mi experiencia, hacer lista de personas que fueron mis jefaturas y ex compañeros de trabajo que fueron cercanos y que hoy mantengo contacto</t>
  </si>
  <si>
    <t>Indagar vía linkedin en qué lugar trabajan hoy</t>
  </si>
  <si>
    <t xml:space="preserve">Escribirles, contandoles que me gustaría reunirme con ellos y contarles más sobre lo que he realizado </t>
  </si>
  <si>
    <t>Proponerles algún horario tentativo</t>
  </si>
  <si>
    <t>Mostrarme abierto, flexible y con escucha activa</t>
  </si>
  <si>
    <t>Ampliar mis redes mas débiles</t>
  </si>
  <si>
    <t>Revisión de las redes de mis personas cercanas</t>
  </si>
  <si>
    <t>Indagar empresas y rubros donde se mueven</t>
  </si>
  <si>
    <t>Pedirle a mi contacto (persona cercana) si es posible me entregue su correo o contacto para escribirle</t>
  </si>
  <si>
    <t>Planificar lo que deseo comunicar (llegar con un objetivo a esa reunión).</t>
  </si>
  <si>
    <t>Durante la reunión mostrarme optimista,enérgico</t>
  </si>
  <si>
    <t>Reactivar mis redes débiles</t>
  </si>
  <si>
    <t>Identificar  personas de mi sector o área  de interés</t>
  </si>
  <si>
    <t>Salir de mi zona de confort es una señal que estoy conociendo y abriendo nuevos contactos, o acercándome a personas que había perdido la comunicación.</t>
  </si>
  <si>
    <t>3.Darse el tiempo de indagar sobre los lugares que trabajan aquella personas ("mapear"), linkedin es un buen lugar para identificar rubros, personas y contactos mios y de otros.</t>
  </si>
  <si>
    <t>4. Contarle a mis redes fuertes que busco trabajo, pedir que me refieran (hacerlo de forma carismática, de a poco).</t>
  </si>
  <si>
    <t>5. Luego que me refieren, conseguir aquellos correos y escribirles  contándoles de mi experiencia y revisión de alguna posible oportunidad.</t>
  </si>
  <si>
    <t>Detectar las redes de mis familiares</t>
  </si>
  <si>
    <t>Identificar potenciales redes pertenecientes a mi núcleo familiar</t>
  </si>
  <si>
    <t xml:space="preserve">Revisar dónde trabajan,dónde trabajaron, temas en común que puedo tener con ellos </t>
  </si>
  <si>
    <t>Llegar de alguna forma a sus contactos, que mi familiar me refiera o le cuente de mí puede ser opción</t>
  </si>
  <si>
    <t>Escribirle a aquella persona o que mi contacto le pueda enviar mi cv (elaborar un párrafo resumen atractivo en cuanto a cargos que podría insertarme y que demuestre una buena disposición y energía)</t>
  </si>
  <si>
    <t>Si no obtengo respuesta, hacer seguimiento luego de 7-10 días.</t>
  </si>
  <si>
    <t>Conectar con redes inexistentes</t>
  </si>
  <si>
    <t>Conocer a mis compañeros de LabLab,  que me conozcan</t>
  </si>
  <si>
    <t>Conectar con todos, indagar empresas donde trabajaron</t>
  </si>
  <si>
    <t xml:space="preserve">Realizar un mapeo de todas las empresas(anotar las que me interesen) </t>
  </si>
  <si>
    <t>Revisar si tengo algún conocido que me pueda referir allí</t>
  </si>
  <si>
    <t>Agregar a mi red de linkedin aquellos conocidos, personas de selección y personas de mi área.</t>
  </si>
  <si>
    <t>Activación Networking</t>
  </si>
  <si>
    <t>Incrementar red de contactos en linkedIn</t>
  </si>
  <si>
    <t>Buscar a las personas que se detectaron en la matriz de networking</t>
  </si>
  <si>
    <t>Enviar invitaciones personalizadas para cada contacto según grado de interés</t>
  </si>
  <si>
    <t>Revisar los contactos de mi red profesional fuerte para hacer nuevas conexiones</t>
  </si>
  <si>
    <t>Establecer contacto por mensajes</t>
  </si>
  <si>
    <t>Ingresar al nuevo contacto a mi matriz de networiking LabLab</t>
  </si>
  <si>
    <t>Aumentar la visualización de linkedIn</t>
  </si>
  <si>
    <t>Revisar cuáles son los temas de interés de mi red</t>
  </si>
  <si>
    <t>Revisar cuáles son los temas en común de la industria donde busco emplearme.</t>
  </si>
  <si>
    <t>Realizar xx post semanales</t>
  </si>
  <si>
    <t>Realizar xx comentarios en temas de interés</t>
  </si>
  <si>
    <t>Contabilizar y establecer contacto con las interacciones de los post</t>
  </si>
  <si>
    <t>Mapear empresas y posible redes</t>
  </si>
  <si>
    <t>Revisar cuáles son las empresas target de mi expertiz y área</t>
  </si>
  <si>
    <t xml:space="preserve">Mapear estructura organizacional de aquellas empresas </t>
  </si>
  <si>
    <t>Detectar posibles jefaturas y agregarlas a mi Red.</t>
  </si>
  <si>
    <t>Revisar oportunidades laborales dentro de la empresa</t>
  </si>
  <si>
    <t>En caso de visualizar vacante dentro de aquellas empresas, escribirle a alguien que trabaje allí y refiere mi Cv.</t>
  </si>
  <si>
    <t>Generar buena impresión al Reclutador que visita mi perfil</t>
  </si>
  <si>
    <t>Revisar dentro de mi experiencia profesional mi jefaturas, agregarlas a mi red</t>
  </si>
  <si>
    <t>Solicitar a 2 ex jefaturas que me dejen una recomendación en mi perfil</t>
  </si>
  <si>
    <t>Solicitar a 1 o 2 compañeros de trabajo que me dejan una recomendación</t>
  </si>
  <si>
    <t>Tener actaulizado mi linkedin (atractivo y marca personal, nivel de inglés, áreas de interés y expertiz)</t>
  </si>
  <si>
    <t>Dejar yo 2 recomendaciones a dos ex compañeros.</t>
  </si>
  <si>
    <t xml:space="preserve">Aumentar conocimientos en temas de Networking o Redes </t>
  </si>
  <si>
    <t>Revisar clase del CJ relacionada a Networking</t>
  </si>
  <si>
    <t xml:space="preserve"> Generar resumen y llevar a la práctica lo aprendido</t>
  </si>
  <si>
    <t>Una vez que lo ejecuto, revisar barreras encontradas, buscar soluciones.</t>
  </si>
  <si>
    <t>Aprender y comprender la relevancia de las Redes</t>
  </si>
  <si>
    <t>Revisar  libros que pueden complementar mi aprendizaje y entendimiento del tema</t>
  </si>
  <si>
    <t>Generar resumen y llevar a la práctica lo aprendido</t>
  </si>
  <si>
    <t>Una vez que lo ejecuto, reflexionar acerca de que siento he estado ejecutando correctamente y que podría hacer mejor.</t>
  </si>
  <si>
    <t>Seguir personas especialistas en temáticas de estas</t>
  </si>
  <si>
    <t>Comentar en publicaciones hechas por estas</t>
  </si>
  <si>
    <t>Conocer las redes de otros que pueden apoyar mi proceso de búsqueda</t>
  </si>
  <si>
    <t>Investigar sobre quienes podrían aportar a mi proceso, y solicitar una reunión con un objetivo por delante.</t>
  </si>
  <si>
    <t>Contarle de mí a la persona, rubros que he trabajado, logros, cargos que podría aplicar.Tratar de ahondar en lo que planifiqué para la reunión (redes,empresas,posibles vacantes, personas que pueden referirme) hacerlo de forma sutil, generar buena impresión, para que esta persona me pueda recordar.</t>
  </si>
  <si>
    <t>Hacer trabajo de reflexionar y mirar hacia atrás para ver cómo han estado las reuniones. (qué ha resultado exitoso y seguir por aquella línea).</t>
  </si>
  <si>
    <t>Luego de la reunión enviar correo a la persona que me reunió, agradeciéndole  por su tiempo y disposición.</t>
  </si>
  <si>
    <t>Luego de 10 días enviar correo para preguntarle si se le ocurre alguien que podría estar solicitando Cvs de mi expertiz.</t>
  </si>
  <si>
    <t>Mapear mis contactos, revisar cómo se conectan con mi rubro</t>
  </si>
  <si>
    <t>Realizar una lista de todos mis compañeros de LabLab</t>
  </si>
  <si>
    <t>Tenerlos agregados en mi linkedin, mostrarme activo (conocer de que rubros provienen).</t>
  </si>
  <si>
    <t>En caso de ver una oportunidad laboral poder revisar si esa empresa o persona está conectado con algún conocido mio</t>
  </si>
  <si>
    <t>Pedir ayuda a contactar si veo alguna conexión</t>
  </si>
  <si>
    <t>Mostrar una actitud positiva, ser persevrante hasta llegar a tu objetivo.</t>
  </si>
  <si>
    <t>Ampliar conocimientos y áreas de expertiz (Ejecutivos)</t>
  </si>
  <si>
    <t>Revisar mi perfil y definir áreas de expertiz que podría apoyar</t>
  </si>
  <si>
    <t>Contactar encargado de LabLab y hacerles saber mi interés de hacer asesorías</t>
  </si>
  <si>
    <t>Investigar mas de asesorías, revisar requisitos y oportunidades</t>
  </si>
  <si>
    <t>Conversar con quienes hoy hacen asesorías para instruirme</t>
  </si>
  <si>
    <t>Capacitarme en algún tema si es necesario</t>
  </si>
  <si>
    <t>Desarrollo de otras áreas y ampliar mi red</t>
  </si>
  <si>
    <t>Conectar con proyectos voluntarios</t>
  </si>
  <si>
    <t>Revisión de proyectos que hoy están requieriendo un voluntario</t>
  </si>
  <si>
    <t xml:space="preserve">Contactar personas del área que me interesa </t>
  </si>
  <si>
    <t>Conocer personas, escribirles, contarles de mí y que quiero ayudar</t>
  </si>
  <si>
    <t>Generar reuniones para que me conozcan y yo saber mas del proyecto</t>
  </si>
  <si>
    <t>COMPLETE</t>
  </si>
  <si>
    <t>Reconversión</t>
  </si>
  <si>
    <t>Explorar e indagar oportunidades que ya existen</t>
  </si>
  <si>
    <t>Generar ideas de lo que deseo</t>
  </si>
  <si>
    <t>Revisión de éxito, estimación ganancias, criterio realidad v/s lo que deseo. Desarrollar modelo de negocio</t>
  </si>
  <si>
    <t xml:space="preserve">Revisión de la competencia </t>
  </si>
  <si>
    <t>Hacer lista de la posible competencia (buscar asesoría de experto)</t>
  </si>
  <si>
    <t>Indagar sobre el producto ya existente en el mercado (conocerlo, revisión de éxito, factores de éxito)</t>
  </si>
  <si>
    <t>Revisión de éxito, estimación ganancias, criterio realidad v/s lo que deseo</t>
  </si>
  <si>
    <t>Lograr estar informado sobre aspectos legales</t>
  </si>
  <si>
    <t>Revisión temas legales requeridos</t>
  </si>
  <si>
    <t>Revisar página Sercotec y solicitar asesoría</t>
  </si>
  <si>
    <t>Plantear dudas, ideas, revisión costos, ect.</t>
  </si>
  <si>
    <t xml:space="preserve">Indagar sobre sitios de apoyo </t>
  </si>
  <si>
    <t>Ordenar ideas y recopilar información entregada por expertos</t>
  </si>
  <si>
    <t>Buscar otros sitios de apoyo (Corfo)</t>
  </si>
  <si>
    <t>Analizar todas las variables estudiados y recopiladas para definir el mejor plan</t>
  </si>
  <si>
    <t>Evaluar otras posibilidades laborales</t>
  </si>
  <si>
    <t>Analizar ¿Qué asesoría podría entregar yo?</t>
  </si>
  <si>
    <t>Detectar mis recursos, habilidades y conocimientos.</t>
  </si>
  <si>
    <t>Definir asesoría como profesional o prestador de servicios (indagar temas legales, beneficios, ect)</t>
  </si>
  <si>
    <t>Revisar  lugares donde podría impartir mis servicios</t>
  </si>
  <si>
    <t>Definir tiempo y objetivo (si esto lo haré mientras busco trabajo habrá que crear un horario para destinar tiempo a la búsqueda también)</t>
  </si>
  <si>
    <t>Analizar beneficios de ser Consultor o Asesor</t>
  </si>
  <si>
    <t>Responder a la pregunta ¿de que forma me beneficiará hacia mi objetivo  desarrollarme por esta área?</t>
  </si>
  <si>
    <t>Tener claro mi objetivo (si deseo hacerlo mientras encuentro trabajo o si lo veo como trabajo a largo plazo)</t>
  </si>
  <si>
    <t>En caso de ser consultor o asesor mientras busco trabajo sería necesario replantear  horario  y tiempos destinado a búsqueda laboral, para mantener el foco en lo que deseo lograr.</t>
  </si>
  <si>
    <t>Poder definir mi oferta de valor hacia esa consultoría específica al momento de tener reunión o entrevista</t>
  </si>
  <si>
    <t>Estar atento a dudas que pueden surgir, responder con firmeza y seguridad.</t>
  </si>
  <si>
    <t>Mantener mi marca personal atractiva</t>
  </si>
  <si>
    <t>Utilizar mi experiencia como consultor de forma asertiva, poder explayarlo en mi Cv</t>
  </si>
  <si>
    <t>Dentro de mi Cv hacerle ver al reclutador que esto es un aporte hacia donde quiero desarrollarme</t>
  </si>
  <si>
    <t>Tener claro mi discurso al momento de tener entrevista (cómo plantearé el estar desarrollando una consultoría en este momento, manejar plazo de término)</t>
  </si>
  <si>
    <t>Durante la entrevista; hacer referencia que si bien estoy realizando una asesoría es con el fin de mantenerme aprendiendo y que mi interés va orientado haciala oferta laboral postulada</t>
  </si>
  <si>
    <t>Comentarle sobre mis aptitudes que me han favorecido dentro de mi rol como consultor,  por ejemplo mi rápida capacidad de adaptarme a diversos contextos.</t>
  </si>
  <si>
    <t>Conocer sobre posibles negocios</t>
  </si>
  <si>
    <t>Búsqueda detellada sobre franquicias en chile (franquicias chile y en LabLab).</t>
  </si>
  <si>
    <t>Solicitar información de interés dentro de la página o experto de LabLab</t>
  </si>
  <si>
    <t>Tener "diario de apuntes" con toda la información recopilada y ordenada sobre lo investigado</t>
  </si>
  <si>
    <t>Hacer preguntas  aquienes hoy tienen franquicias, plantear dudas</t>
  </si>
  <si>
    <t>Revisar costos, pérdidas, etc.</t>
  </si>
  <si>
    <t>Indagar competencia y franquicias ya existentes</t>
  </si>
  <si>
    <t>Análisis de las franquicias ya existentes</t>
  </si>
  <si>
    <t>Revisión de productos que me interesan (indagar valores, calidad, promesa futura, viabilidad, estimación éxito)</t>
  </si>
  <si>
    <t>Filtrar,preguntar,pedir el producto para ver como llega,cuanto demora,opiniones</t>
  </si>
  <si>
    <t>Revisión de mercado, comparación de costos y valores. Análisis de temas legales y papeleo requerido.</t>
  </si>
  <si>
    <t>Evaluación de interés por el producto en chile.</t>
  </si>
  <si>
    <t>Elegir producto</t>
  </si>
  <si>
    <t>Elección de producto</t>
  </si>
  <si>
    <t>Definir ubicación de acuerdo a mi publico objetivo y producto</t>
  </si>
  <si>
    <t>Definir número de personas que trabajarán, tipo de atención.</t>
  </si>
  <si>
    <t>Revisión de costos de todo ya analizado profundamente</t>
  </si>
  <si>
    <t xml:space="preserve">Asesorarme acorde a mi elección y decisión </t>
  </si>
  <si>
    <t>Capacitación</t>
  </si>
  <si>
    <t>Incrementar el conocimiento y desarrollar nuevas habilidades</t>
  </si>
  <si>
    <t>Rrevisión de temas que hoy están siendo crucielas que maneje dentro de mis cargos de interés</t>
  </si>
  <si>
    <t>Indagar sobre los diversos cursos que existen, revisar tiempos y certificación.</t>
  </si>
  <si>
    <t>Tener una actitud positiva hacia el aprendizaje y desarrollo de nuevas habilidades</t>
  </si>
  <si>
    <t>Luego de haber elegido curso, hacerse horario para poder complementarlo con búsqueda y postulaciones.</t>
  </si>
  <si>
    <t>Luego de  finalizado el curso, agregarlo a Cv y linkedin.</t>
  </si>
  <si>
    <t>PUEDO (Experiencia, Conocimientos, Aptitudes, Habilidades, Logros)</t>
  </si>
  <si>
    <t>QUIERO (Intereses, Preferencias, Motivación, Necesidades, Aptitudes)</t>
  </si>
  <si>
    <t>ESTRATEGIAS (¿Como lo voy a lograr?)</t>
  </si>
  <si>
    <t>OBJECTIVO PROFESIONAL</t>
  </si>
  <si>
    <t>RELLENAR LOS SIGUIENTES CAMPOS</t>
  </si>
  <si>
    <t>Lo antes posible</t>
  </si>
  <si>
    <t>Escribir acá</t>
  </si>
  <si>
    <t>Lograr detectar mis redes mas fuertes</t>
  </si>
  <si>
    <t>Lograr unificar mi objetivo de las ideas incorporadas</t>
  </si>
  <si>
    <t>Elegir un objetivo</t>
  </si>
  <si>
    <t>N/A</t>
  </si>
  <si>
    <t>GestorPosPostuladasMes</t>
  </si>
  <si>
    <t>GestorPosEnEntrevistaMes</t>
  </si>
  <si>
    <t>GestorPosPostuladasWeek</t>
  </si>
  <si>
    <t>GestorPosEnEntrevistaWeek</t>
  </si>
  <si>
    <t>Buscador Ofertas</t>
  </si>
  <si>
    <t>Gestor de Postulaciónes</t>
  </si>
  <si>
    <t>NetworkingMes</t>
  </si>
  <si>
    <t>NetworkingWeek</t>
  </si>
  <si>
    <t>OfertasMes</t>
  </si>
  <si>
    <t>OfertasWeek</t>
  </si>
  <si>
    <t>X</t>
  </si>
  <si>
    <t>Entrevista Ultimo Mes</t>
  </si>
  <si>
    <t>Entrevista Ultima Semana</t>
  </si>
  <si>
    <t>Postulado Ultima Semana</t>
  </si>
  <si>
    <t>Postulado Ultimo Mes</t>
  </si>
  <si>
    <t>Buscado Ultimo Mes</t>
  </si>
  <si>
    <t>Buscado Ultima Semana</t>
  </si>
  <si>
    <t>Reuniones Networking</t>
  </si>
  <si>
    <t>Efectuadas Ultimo Mes</t>
  </si>
  <si>
    <t>Efectuadas Ultima Semana</t>
  </si>
  <si>
    <t>Etiquetas de fila</t>
  </si>
  <si>
    <t>Total general</t>
  </si>
  <si>
    <t>Elegir un Plan</t>
  </si>
  <si>
    <t>Seleccionar Opción</t>
  </si>
  <si>
    <t>Cada 15 días</t>
  </si>
  <si>
    <t>CUÁNDO</t>
  </si>
  <si>
    <t>7012137-9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</si>
</sst>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x14ac:knownFonts="1">
    <font>
      <sz val="11"/>
      <color indexed="8"/>
      <name val="Calibri"/>
      <family val="2"/>
      <scheme val="minor"/>
    </font>
    <font>
      <sz val="12"/>
      <color theme="1"/>
      <name val="Calibri"/>
      <family val="2"/>
      <scheme val="minor"/>
    </font>
    <font>
      <sz val="17"/>
      <color rgb="FF404040"/>
      <name val="Calibri"/>
      <family val="2"/>
      <scheme val="minor"/>
    </font>
    <font>
      <sz val="8"/>
      <name val="Calibri"/>
      <family val="2"/>
      <scheme val="minor"/>
    </font>
    <font>
      <sz val="18"/>
      <color theme="0"/>
      <name val="Calibri"/>
      <family val="2"/>
      <scheme val="minor"/>
    </font>
    <font>
      <sz val="11"/>
      <color theme="0"/>
      <name val="Calibri"/>
      <family val="2"/>
      <scheme val="minor"/>
    </font>
    <font>
      <sz val="16"/>
      <color rgb="FFE7133F"/>
      <name val="Calibri"/>
      <family val="2"/>
      <scheme val="minor"/>
    </font>
    <font>
      <b/>
      <sz val="12"/>
      <color theme="0"/>
      <name val="Calibri"/>
      <family val="2"/>
      <scheme val="minor"/>
    </font>
    <font>
      <sz val="11"/>
      <color rgb="FF000000"/>
      <name val="Calibri"/>
      <family val="2"/>
      <scheme val="minor"/>
    </font>
    <font>
      <sz val="12"/>
      <name val="Calibri"/>
      <family val="2"/>
      <scheme val="minor"/>
    </font>
    <font>
      <sz val="17"/>
      <color rgb="FFFFFFFF"/>
      <name val="Calibri"/>
      <family val="2"/>
      <scheme val="minor"/>
    </font>
    <font>
      <sz val="16"/>
      <color theme="0"/>
      <name val="Calibri"/>
      <family val="2"/>
      <scheme val="minor"/>
    </font>
    <font>
      <b/>
      <sz val="20"/>
      <color rgb="FF404040"/>
      <name val="Calibri"/>
      <family val="2"/>
      <scheme val="minor"/>
    </font>
    <font>
      <b/>
      <sz val="28"/>
      <color rgb="FF404040"/>
      <name val="Calibri"/>
      <family val="2"/>
      <scheme val="minor"/>
    </font>
    <font>
      <sz val="11"/>
      <color rgb="FF404040"/>
      <name val="Calibri"/>
      <family val="2"/>
      <scheme val="minor"/>
    </font>
    <font>
      <b/>
      <sz val="26"/>
      <color rgb="FF404040"/>
      <name val="Calibri"/>
      <family val="2"/>
      <scheme val="minor"/>
    </font>
    <font>
      <sz val="20"/>
      <color rgb="FF404040"/>
      <name val="Calibri"/>
      <family val="2"/>
      <scheme val="minor"/>
    </font>
    <font>
      <sz val="14"/>
      <color rgb="FF404040"/>
      <name val="Calibri"/>
      <family val="2"/>
      <scheme val="minor"/>
    </font>
    <font>
      <b/>
      <sz val="16"/>
      <color rgb="FF404040"/>
      <name val="Calibri"/>
      <family val="2"/>
      <scheme val="minor"/>
    </font>
    <font>
      <sz val="18"/>
      <color rgb="FF404040"/>
      <name val="Calibri"/>
      <family val="2"/>
      <scheme val="minor"/>
    </font>
    <font>
      <sz val="10"/>
      <color theme="0"/>
      <name val="Calibri"/>
      <family val="2"/>
      <scheme val="minor"/>
    </font>
    <font>
      <sz val="11"/>
      <color rgb="FFE7133F"/>
      <name val="Calibri"/>
      <family val="2"/>
      <scheme val="minor"/>
    </font>
    <font>
      <sz val="12"/>
      <color theme="0"/>
      <name val="Calibri"/>
      <family val="2"/>
      <scheme val="minor"/>
    </font>
    <font>
      <sz val="17"/>
      <name val="Calibri"/>
      <family val="2"/>
      <scheme val="minor"/>
    </font>
    <font>
      <sz val="17"/>
      <name val="Calibri (Cuerpo)"/>
    </font>
    <font>
      <sz val="11"/>
      <name val="Calibri"/>
      <family val="2"/>
      <scheme val="minor"/>
    </font>
    <font>
      <b/>
      <sz val="16"/>
      <color rgb="FFE7133F"/>
      <name val="Calibri"/>
      <family val="2"/>
      <scheme val="minor"/>
    </font>
    <font>
      <b/>
      <sz val="10"/>
      <color rgb="FF404040"/>
      <name val="Calibri"/>
      <family val="2"/>
      <scheme val="minor"/>
    </font>
    <font>
      <sz val="10"/>
      <color rgb="FF404040"/>
      <name val="Calibri"/>
      <family val="2"/>
      <scheme val="minor"/>
    </font>
    <font>
      <sz val="14"/>
      <color rgb="FF40403F"/>
      <name val="Calibri"/>
      <family val="2"/>
      <scheme val="minor"/>
    </font>
    <font>
      <sz val="11"/>
      <color indexed="8"/>
      <name val="Calibri"/>
      <family val="2"/>
      <scheme val="minor"/>
    </font>
    <font>
      <sz val="11"/>
      <color rgb="FF000000"/>
      <name val="Calibri"/>
      <family val="2"/>
    </font>
  </fonts>
  <fills count="11">
    <fill>
      <patternFill patternType="none"/>
    </fill>
    <fill>
      <patternFill patternType="gray125"/>
    </fill>
    <fill>
      <patternFill patternType="solid">
        <fgColor theme="0"/>
        <bgColor indexed="64"/>
      </patternFill>
    </fill>
    <fill>
      <patternFill patternType="solid">
        <fgColor rgb="FFF2F2F2"/>
        <bgColor indexed="64"/>
      </patternFill>
    </fill>
    <fill>
      <patternFill patternType="solid">
        <fgColor rgb="FF6C6C6D"/>
        <bgColor indexed="64"/>
      </patternFill>
    </fill>
    <fill>
      <patternFill patternType="solid">
        <fgColor theme="0" tint="-0.34998626667073579"/>
        <bgColor indexed="64"/>
      </patternFill>
    </fill>
    <fill>
      <patternFill patternType="solid">
        <fgColor theme="4"/>
        <bgColor theme="4"/>
      </patternFill>
    </fill>
    <fill>
      <patternFill patternType="solid">
        <fgColor rgb="FFFFFFFF"/>
        <bgColor indexed="64"/>
      </patternFill>
    </fill>
    <fill>
      <patternFill patternType="solid">
        <fgColor rgb="FFF2F2F1"/>
        <bgColor indexed="64"/>
      </patternFill>
    </fill>
    <fill>
      <patternFill patternType="solid">
        <fgColor theme="0" tint="-0.249977111117893"/>
        <bgColor indexed="64"/>
      </patternFill>
    </fill>
    <fill>
      <patternFill patternType="solid">
        <fgColor theme="0" tint="-4.9989318521683403E-2"/>
        <bgColor indexed="64"/>
      </patternFill>
    </fill>
  </fills>
  <borders count="41">
    <border>
      <left/>
      <right/>
      <top/>
      <bottom/>
      <diagonal/>
    </border>
    <border>
      <left/>
      <right/>
      <top/>
      <bottom style="thin">
        <color theme="0" tint="-0.499984740745262"/>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indexed="64"/>
      </top>
      <bottom style="thin">
        <color indexed="64"/>
      </bottom>
      <diagonal/>
    </border>
    <border>
      <left style="thin">
        <color theme="1"/>
      </left>
      <right style="thin">
        <color theme="1"/>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style="thin">
        <color theme="1"/>
      </left>
      <right style="thin">
        <color theme="1"/>
      </right>
      <top style="thin">
        <color theme="1"/>
      </top>
      <bottom/>
      <diagonal/>
    </border>
    <border>
      <left style="thin">
        <color rgb="FF6C6C6D"/>
      </left>
      <right style="thin">
        <color rgb="FF6C6C6D"/>
      </right>
      <top style="thin">
        <color rgb="FF6C6C6D"/>
      </top>
      <bottom style="thin">
        <color rgb="FF6C6C6D"/>
      </bottom>
      <diagonal/>
    </border>
    <border>
      <left style="thin">
        <color theme="1"/>
      </left>
      <right/>
      <top style="thin">
        <color theme="1"/>
      </top>
      <bottom/>
      <diagonal/>
    </border>
    <border>
      <left style="thin">
        <color rgb="FF6C6C6D"/>
      </left>
      <right/>
      <top style="thin">
        <color rgb="FF6C6C6D"/>
      </top>
      <bottom style="thin">
        <color rgb="FF6C6C6D"/>
      </bottom>
      <diagonal/>
    </border>
    <border>
      <left/>
      <right/>
      <top style="thin">
        <color rgb="FF6C6C6D"/>
      </top>
      <bottom style="thin">
        <color rgb="FF6C6C6D"/>
      </bottom>
      <diagonal/>
    </border>
    <border>
      <left/>
      <right style="thin">
        <color rgb="FF6C6C6D"/>
      </right>
      <top style="thin">
        <color rgb="FF6C6C6D"/>
      </top>
      <bottom style="thin">
        <color rgb="FF6C6C6D"/>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rgb="FF6C6C6D"/>
      </left>
      <right/>
      <top style="thin">
        <color rgb="FF6C6C6D"/>
      </top>
      <bottom/>
      <diagonal/>
    </border>
    <border>
      <left/>
      <right/>
      <top style="thin">
        <color rgb="FF6C6C6D"/>
      </top>
      <bottom/>
      <diagonal/>
    </border>
    <border>
      <left/>
      <right style="thin">
        <color rgb="FF6C6C6D"/>
      </right>
      <top style="thin">
        <color rgb="FF6C6C6D"/>
      </top>
      <bottom/>
      <diagonal/>
    </border>
    <border>
      <left style="thin">
        <color rgb="FF6C6C6D"/>
      </left>
      <right/>
      <top/>
      <bottom style="thin">
        <color rgb="FF6C6C6D"/>
      </bottom>
      <diagonal/>
    </border>
    <border>
      <left/>
      <right/>
      <top/>
      <bottom style="thin">
        <color rgb="FF6C6C6D"/>
      </bottom>
      <diagonal/>
    </border>
    <border>
      <left/>
      <right style="thin">
        <color rgb="FF6C6C6D"/>
      </right>
      <top/>
      <bottom style="thin">
        <color rgb="FF6C6C6D"/>
      </bottom>
      <diagonal/>
    </border>
    <border>
      <left style="thin">
        <color indexed="64"/>
      </left>
      <right/>
      <top/>
      <bottom/>
      <diagonal/>
    </border>
    <border>
      <left style="thin">
        <color rgb="FF6C6C6D"/>
      </left>
      <right style="thin">
        <color rgb="FF6C6C6D"/>
      </right>
      <top style="thin">
        <color rgb="FF6C6C6D"/>
      </top>
      <bottom/>
      <diagonal/>
    </border>
    <border>
      <left style="thin">
        <color rgb="FF6C6C6D"/>
      </left>
      <right style="thin">
        <color rgb="FF6C6C6D"/>
      </right>
      <top/>
      <bottom/>
      <diagonal/>
    </border>
    <border>
      <left style="thin">
        <color rgb="FF6C6C6D"/>
      </left>
      <right style="thin">
        <color rgb="FF6C6C6D"/>
      </right>
      <top/>
      <bottom style="thin">
        <color rgb="FF6C6C6D"/>
      </bottom>
      <diagonal/>
    </border>
    <border>
      <left style="thin">
        <color rgb="FF6C6C6D"/>
      </left>
      <right/>
      <top/>
      <bottom/>
      <diagonal/>
    </border>
    <border>
      <left/>
      <right style="thin">
        <color rgb="FF6C6C6D"/>
      </right>
      <top/>
      <bottom/>
      <diagonal/>
    </border>
    <border>
      <left/>
      <right style="thin">
        <color indexed="64"/>
      </right>
      <top style="thin">
        <color rgb="FF6C6C6D"/>
      </top>
      <bottom style="thin">
        <color rgb="FF6C6C6D"/>
      </bottom>
      <diagonal/>
    </border>
  </borders>
  <cellStyleXfs count="2">
    <xf numFmtId="0" fontId="0" fillId="0" borderId="0"/>
    <xf numFmtId="0" fontId="30" fillId="0" borderId="0"/>
  </cellStyleXfs>
  <cellXfs count="146">
    <xf numFmtId="0" fontId="0" fillId="0" borderId="0" xfId="0"/>
    <xf numFmtId="0" fontId="7" fillId="6" borderId="14" xfId="0" applyFont="1" applyFill="1" applyBorder="1"/>
    <xf numFmtId="0" fontId="0" fillId="0" borderId="15" xfId="0" applyBorder="1" applyAlignment="1">
      <alignment wrapText="1"/>
    </xf>
    <xf numFmtId="0" fontId="0" fillId="0" borderId="15" xfId="0" applyBorder="1" applyAlignment="1">
      <alignment vertical="center" wrapText="1"/>
    </xf>
    <xf numFmtId="0" fontId="7" fillId="6" borderId="16" xfId="0" applyFont="1" applyFill="1" applyBorder="1"/>
    <xf numFmtId="0" fontId="7" fillId="6" borderId="17" xfId="0" applyFont="1" applyFill="1" applyBorder="1"/>
    <xf numFmtId="0" fontId="0" fillId="0" borderId="14" xfId="0" applyFill="1" applyBorder="1"/>
    <xf numFmtId="0" fontId="9" fillId="0" borderId="14" xfId="0" applyFont="1" applyFill="1" applyBorder="1"/>
    <xf numFmtId="0" fontId="0" fillId="0" borderId="19" xfId="0" applyBorder="1"/>
    <xf numFmtId="0" fontId="8" fillId="0" borderId="20" xfId="0" applyFont="1" applyBorder="1" applyAlignment="1">
      <alignment wrapText="1"/>
    </xf>
    <xf numFmtId="0" fontId="0" fillId="0" borderId="20" xfId="0" applyBorder="1" applyAlignment="1">
      <alignment wrapText="1"/>
    </xf>
    <xf numFmtId="0" fontId="0" fillId="0" borderId="22" xfId="0" applyBorder="1" applyAlignment="1">
      <alignment wrapText="1"/>
    </xf>
    <xf numFmtId="0" fontId="0" fillId="0" borderId="16" xfId="0" applyBorder="1" applyAlignment="1">
      <alignment wrapText="1"/>
    </xf>
    <xf numFmtId="0" fontId="0" fillId="0" borderId="18" xfId="0" applyBorder="1" applyAlignment="1">
      <alignment wrapText="1"/>
    </xf>
    <xf numFmtId="0" fontId="1" fillId="0" borderId="15" xfId="0" applyFont="1" applyBorder="1"/>
    <xf numFmtId="0" fontId="1" fillId="0" borderId="15" xfId="0" applyFont="1" applyBorder="1" applyAlignment="1">
      <alignment wrapText="1"/>
    </xf>
    <xf numFmtId="0" fontId="14" fillId="8" borderId="0" xfId="0" applyFont="1" applyFill="1"/>
    <xf numFmtId="0" fontId="14" fillId="7" borderId="0" xfId="0" applyFont="1" applyFill="1"/>
    <xf numFmtId="0" fontId="17" fillId="7" borderId="0" xfId="0" applyFont="1" applyFill="1"/>
    <xf numFmtId="0" fontId="14" fillId="3" borderId="0" xfId="0" applyFont="1" applyFill="1"/>
    <xf numFmtId="0" fontId="14" fillId="9" borderId="0" xfId="0" applyFont="1" applyFill="1"/>
    <xf numFmtId="0" fontId="14" fillId="10" borderId="0" xfId="0" applyFont="1" applyFill="1"/>
    <xf numFmtId="49" fontId="0" fillId="0" borderId="20" xfId="0" applyNumberFormat="1" applyBorder="1" applyAlignment="1">
      <alignment wrapText="1"/>
    </xf>
    <xf numFmtId="49" fontId="0" fillId="0" borderId="22" xfId="0" applyNumberFormat="1" applyBorder="1" applyAlignment="1">
      <alignment wrapText="1"/>
    </xf>
    <xf numFmtId="0" fontId="14" fillId="7" borderId="0" xfId="0" applyFont="1" applyFill="1" applyProtection="1"/>
    <xf numFmtId="0" fontId="13" fillId="7" borderId="0" xfId="0" applyFont="1" applyFill="1" applyAlignment="1" applyProtection="1"/>
    <xf numFmtId="0" fontId="16" fillId="7" borderId="0" xfId="0" applyFont="1" applyFill="1" applyProtection="1"/>
    <xf numFmtId="0" fontId="17" fillId="7" borderId="0" xfId="0" applyFont="1" applyFill="1" applyProtection="1"/>
    <xf numFmtId="0" fontId="14" fillId="10" borderId="0" xfId="0" applyFont="1" applyFill="1" applyProtection="1"/>
    <xf numFmtId="0" fontId="12" fillId="10" borderId="0" xfId="0" applyFont="1" applyFill="1" applyProtection="1"/>
    <xf numFmtId="0" fontId="16" fillId="10" borderId="0" xfId="0" applyFont="1" applyFill="1" applyProtection="1"/>
    <xf numFmtId="0" fontId="12" fillId="10" borderId="0" xfId="0" applyFont="1" applyFill="1" applyAlignment="1" applyProtection="1">
      <alignment horizontal="right"/>
    </xf>
    <xf numFmtId="0" fontId="18" fillId="10" borderId="0" xfId="0" applyFont="1" applyFill="1" applyProtection="1"/>
    <xf numFmtId="0" fontId="17" fillId="10" borderId="0" xfId="0" applyFont="1" applyFill="1" applyAlignment="1" applyProtection="1">
      <alignment horizontal="left"/>
    </xf>
    <xf numFmtId="0" fontId="14" fillId="7" borderId="0" xfId="0" applyFont="1" applyFill="1" applyAlignment="1" applyProtection="1">
      <alignment horizontal="right"/>
    </xf>
    <xf numFmtId="0" fontId="14" fillId="10" borderId="0" xfId="0" applyFont="1" applyFill="1" applyAlignment="1" applyProtection="1">
      <alignment horizontal="right"/>
    </xf>
    <xf numFmtId="0" fontId="2" fillId="10" borderId="0" xfId="0" applyFont="1" applyFill="1" applyBorder="1" applyAlignment="1" applyProtection="1">
      <alignment horizontal="center" vertical="center" wrapText="1" readingOrder="1"/>
    </xf>
    <xf numFmtId="0" fontId="14" fillId="8" borderId="0" xfId="0" applyFont="1" applyFill="1" applyProtection="1"/>
    <xf numFmtId="0" fontId="2" fillId="8" borderId="0" xfId="0" applyFont="1" applyFill="1" applyBorder="1" applyAlignment="1" applyProtection="1">
      <alignment horizontal="center" vertical="center" wrapText="1" readingOrder="1"/>
    </xf>
    <xf numFmtId="0" fontId="14" fillId="8" borderId="0" xfId="0" applyFont="1" applyFill="1" applyBorder="1" applyProtection="1"/>
    <xf numFmtId="0" fontId="14" fillId="10" borderId="0" xfId="0" applyFont="1" applyFill="1" applyBorder="1" applyProtection="1"/>
    <xf numFmtId="0" fontId="23" fillId="10" borderId="0" xfId="0" applyFont="1" applyFill="1" applyBorder="1" applyAlignment="1" applyProtection="1">
      <alignment horizontal="center" vertical="center" wrapText="1" readingOrder="1"/>
    </xf>
    <xf numFmtId="0" fontId="14" fillId="2" borderId="0" xfId="0" applyFont="1" applyFill="1" applyProtection="1"/>
    <xf numFmtId="0" fontId="12" fillId="2" borderId="0" xfId="0" applyFont="1" applyFill="1" applyAlignment="1" applyProtection="1">
      <alignment horizontal="left"/>
    </xf>
    <xf numFmtId="0" fontId="17" fillId="2" borderId="0" xfId="0" applyFont="1" applyFill="1" applyProtection="1"/>
    <xf numFmtId="14" fontId="14" fillId="8" borderId="0" xfId="0" applyNumberFormat="1" applyFont="1" applyFill="1" applyProtection="1"/>
    <xf numFmtId="0" fontId="14" fillId="8" borderId="0" xfId="0" applyFont="1" applyFill="1" applyAlignment="1" applyProtection="1">
      <alignment wrapText="1"/>
    </xf>
    <xf numFmtId="0" fontId="19" fillId="2" borderId="0" xfId="0" applyFont="1" applyFill="1" applyAlignment="1" applyProtection="1">
      <alignment vertical="center" wrapText="1"/>
    </xf>
    <xf numFmtId="0" fontId="6" fillId="8" borderId="34" xfId="0" applyFont="1" applyFill="1" applyBorder="1" applyAlignment="1" applyProtection="1">
      <alignment wrapText="1"/>
      <protection locked="0"/>
    </xf>
    <xf numFmtId="0" fontId="17" fillId="7" borderId="0" xfId="0" applyFont="1" applyFill="1" applyAlignment="1" applyProtection="1">
      <alignment horizontal="center"/>
    </xf>
    <xf numFmtId="14" fontId="17" fillId="7" borderId="0" xfId="0" applyNumberFormat="1" applyFont="1" applyFill="1" applyAlignment="1" applyProtection="1"/>
    <xf numFmtId="0" fontId="18" fillId="10" borderId="12" xfId="0" applyFont="1" applyFill="1" applyBorder="1" applyAlignment="1" applyProtection="1">
      <alignment horizontal="center"/>
    </xf>
    <xf numFmtId="0" fontId="22" fillId="4" borderId="21" xfId="0" applyFont="1" applyFill="1" applyBorder="1" applyAlignment="1" applyProtection="1">
      <alignment horizontal="center" vertical="center"/>
      <protection locked="0"/>
    </xf>
    <xf numFmtId="0" fontId="0" fillId="0" borderId="0" xfId="0" applyProtection="1">
      <protection locked="0"/>
    </xf>
    <xf numFmtId="0" fontId="0" fillId="0" borderId="0" xfId="0" applyProtection="1"/>
    <xf numFmtId="14" fontId="0" fillId="0" borderId="0" xfId="0" applyNumberFormat="1" applyProtection="1"/>
    <xf numFmtId="0" fontId="21" fillId="0" borderId="0" xfId="0" applyFont="1" applyProtection="1"/>
    <xf numFmtId="0" fontId="25" fillId="0" borderId="0" xfId="0" applyFont="1" applyProtection="1"/>
    <xf numFmtId="0" fontId="2" fillId="0" borderId="0" xfId="0" applyFont="1" applyFill="1" applyBorder="1" applyAlignment="1" applyProtection="1">
      <alignment vertical="center" readingOrder="1"/>
    </xf>
    <xf numFmtId="0" fontId="10" fillId="0" borderId="0" xfId="0" applyFont="1" applyFill="1" applyBorder="1" applyAlignment="1" applyProtection="1">
      <alignment vertical="center" readingOrder="1"/>
    </xf>
    <xf numFmtId="0" fontId="28" fillId="10" borderId="36" xfId="0" applyFont="1" applyFill="1" applyBorder="1" applyAlignment="1" applyProtection="1">
      <alignment horizontal="center"/>
    </xf>
    <xf numFmtId="0" fontId="27" fillId="10" borderId="21" xfId="0" applyFont="1" applyFill="1" applyBorder="1" applyAlignment="1" applyProtection="1">
      <alignment horizontal="center"/>
    </xf>
    <xf numFmtId="0" fontId="28" fillId="10" borderId="35" xfId="0" applyFont="1" applyFill="1" applyBorder="1" applyAlignment="1" applyProtection="1">
      <alignment horizontal="center"/>
    </xf>
    <xf numFmtId="14" fontId="25" fillId="0" borderId="0" xfId="0" applyNumberFormat="1" applyFont="1" applyProtection="1"/>
    <xf numFmtId="14" fontId="22" fillId="4" borderId="21" xfId="0" applyNumberFormat="1" applyFont="1" applyFill="1" applyBorder="1" applyAlignment="1" applyProtection="1">
      <alignment horizontal="center" vertical="center"/>
      <protection locked="0"/>
    </xf>
    <xf numFmtId="0" fontId="5" fillId="5" borderId="5" xfId="0" applyFont="1" applyFill="1" applyBorder="1" applyAlignment="1" applyProtection="1">
      <alignment horizontal="center" vertical="center"/>
      <protection locked="0"/>
    </xf>
    <xf numFmtId="0" fontId="0" fillId="0" borderId="0" xfId="0" pivotButton="1"/>
    <xf numFmtId="0" fontId="0" fillId="0" borderId="0" xfId="0" applyAlignment="1">
      <alignment horizontal="left"/>
    </xf>
    <xf numFmtId="0" fontId="6" fillId="8" borderId="23" xfId="0" applyFont="1" applyFill="1" applyBorder="1" applyAlignment="1" applyProtection="1">
      <alignment horizontal="center" wrapText="1"/>
      <protection locked="0"/>
    </xf>
    <xf numFmtId="0" fontId="6" fillId="8" borderId="24" xfId="0" applyFont="1" applyFill="1" applyBorder="1" applyAlignment="1" applyProtection="1">
      <alignment horizontal="center" wrapText="1"/>
      <protection locked="0"/>
    </xf>
    <xf numFmtId="0" fontId="6" fillId="8" borderId="25" xfId="0" applyFont="1" applyFill="1" applyBorder="1" applyAlignment="1" applyProtection="1">
      <alignment horizontal="center" wrapText="1"/>
      <protection locked="0"/>
    </xf>
    <xf numFmtId="0" fontId="5" fillId="5" borderId="21" xfId="0" applyFont="1" applyFill="1" applyBorder="1" applyAlignment="1" applyProtection="1">
      <alignment horizontal="center" vertical="center" wrapText="1"/>
    </xf>
    <xf numFmtId="0" fontId="20" fillId="5" borderId="21" xfId="0" applyFont="1" applyFill="1" applyBorder="1" applyAlignment="1" applyProtection="1">
      <alignment horizontal="center" vertical="center" wrapText="1"/>
    </xf>
    <xf numFmtId="0" fontId="20" fillId="5" borderId="23" xfId="0" applyFont="1" applyFill="1" applyBorder="1" applyAlignment="1" applyProtection="1">
      <alignment horizontal="center" vertical="center" wrapText="1"/>
    </xf>
    <xf numFmtId="0" fontId="17" fillId="10" borderId="0" xfId="0" applyFont="1" applyFill="1" applyAlignment="1" applyProtection="1">
      <alignment horizontal="left"/>
    </xf>
    <xf numFmtId="0" fontId="18" fillId="8" borderId="5" xfId="0" applyFont="1" applyFill="1" applyBorder="1" applyAlignment="1" applyProtection="1">
      <alignment horizontal="center"/>
    </xf>
    <xf numFmtId="0" fontId="18" fillId="8" borderId="2" xfId="0" applyFont="1" applyFill="1" applyBorder="1" applyAlignment="1" applyProtection="1">
      <alignment horizontal="center"/>
    </xf>
    <xf numFmtId="0" fontId="18" fillId="8" borderId="11" xfId="0" applyFont="1" applyFill="1" applyBorder="1" applyAlignment="1" applyProtection="1">
      <alignment horizontal="center"/>
    </xf>
    <xf numFmtId="0" fontId="11" fillId="4" borderId="10" xfId="0" applyFont="1" applyFill="1" applyBorder="1" applyAlignment="1" applyProtection="1">
      <alignment horizontal="center" vertical="center" wrapText="1"/>
      <protection locked="0"/>
    </xf>
    <xf numFmtId="0" fontId="11" fillId="4" borderId="2" xfId="0" applyFont="1" applyFill="1" applyBorder="1" applyAlignment="1" applyProtection="1">
      <alignment horizontal="center" vertical="center" wrapText="1"/>
      <protection locked="0"/>
    </xf>
    <xf numFmtId="0" fontId="11" fillId="4" borderId="11" xfId="0" applyFont="1" applyFill="1" applyBorder="1" applyAlignment="1" applyProtection="1">
      <alignment horizontal="center" vertical="center" wrapText="1"/>
      <protection locked="0"/>
    </xf>
    <xf numFmtId="0" fontId="11" fillId="4" borderId="4" xfId="0" applyFont="1" applyFill="1" applyBorder="1" applyAlignment="1" applyProtection="1">
      <alignment horizontal="center" vertical="center" wrapText="1"/>
      <protection locked="0"/>
    </xf>
    <xf numFmtId="0" fontId="11" fillId="4" borderId="0" xfId="0" applyFont="1" applyFill="1" applyBorder="1" applyAlignment="1" applyProtection="1">
      <alignment horizontal="center" vertical="center" wrapText="1"/>
      <protection locked="0"/>
    </xf>
    <xf numFmtId="0" fontId="11" fillId="4" borderId="7" xfId="0" applyFont="1" applyFill="1" applyBorder="1" applyAlignment="1" applyProtection="1">
      <alignment horizontal="center" vertical="center" wrapText="1"/>
      <protection locked="0"/>
    </xf>
    <xf numFmtId="0" fontId="11" fillId="4" borderId="8" xfId="0" applyFont="1" applyFill="1" applyBorder="1" applyAlignment="1" applyProtection="1">
      <alignment horizontal="center" vertical="center" wrapText="1"/>
      <protection locked="0"/>
    </xf>
    <xf numFmtId="0" fontId="11" fillId="4" borderId="1" xfId="0" applyFont="1" applyFill="1" applyBorder="1" applyAlignment="1" applyProtection="1">
      <alignment horizontal="center" vertical="center" wrapText="1"/>
      <protection locked="0"/>
    </xf>
    <xf numFmtId="0" fontId="11" fillId="4" borderId="9" xfId="0" applyFont="1" applyFill="1" applyBorder="1" applyAlignment="1" applyProtection="1">
      <alignment horizontal="center" vertical="center" wrapText="1"/>
      <protection locked="0"/>
    </xf>
    <xf numFmtId="0" fontId="18" fillId="8" borderId="26" xfId="0" applyFont="1" applyFill="1" applyBorder="1" applyAlignment="1" applyProtection="1">
      <alignment horizontal="center"/>
    </xf>
    <xf numFmtId="0" fontId="18" fillId="8" borderId="27" xfId="0" applyFont="1" applyFill="1" applyBorder="1" applyAlignment="1" applyProtection="1">
      <alignment horizontal="center"/>
    </xf>
    <xf numFmtId="0" fontId="2" fillId="10" borderId="15" xfId="0" applyFont="1" applyFill="1" applyBorder="1" applyAlignment="1" applyProtection="1">
      <alignment horizontal="center" vertical="center" wrapText="1" readingOrder="1"/>
    </xf>
    <xf numFmtId="14" fontId="4" fillId="4" borderId="0" xfId="0" applyNumberFormat="1" applyFont="1" applyFill="1" applyAlignment="1" applyProtection="1">
      <alignment horizontal="center" vertical="center" wrapText="1"/>
      <protection locked="0"/>
    </xf>
    <xf numFmtId="0" fontId="12" fillId="10" borderId="0" xfId="0" applyFont="1" applyFill="1" applyAlignment="1" applyProtection="1">
      <alignment horizontal="center"/>
    </xf>
    <xf numFmtId="0" fontId="14" fillId="7" borderId="12" xfId="0" applyFont="1" applyFill="1" applyBorder="1" applyAlignment="1" applyProtection="1">
      <alignment horizontal="center"/>
    </xf>
    <xf numFmtId="0" fontId="14" fillId="7" borderId="13" xfId="0" applyFont="1" applyFill="1" applyBorder="1" applyAlignment="1" applyProtection="1">
      <alignment horizontal="center"/>
    </xf>
    <xf numFmtId="0" fontId="14" fillId="7" borderId="6" xfId="0" applyFont="1" applyFill="1" applyBorder="1" applyAlignment="1" applyProtection="1">
      <alignment horizontal="center"/>
    </xf>
    <xf numFmtId="0" fontId="14" fillId="7" borderId="11" xfId="0" applyFont="1" applyFill="1" applyBorder="1" applyAlignment="1" applyProtection="1">
      <alignment horizontal="center"/>
    </xf>
    <xf numFmtId="0" fontId="14" fillId="7" borderId="7" xfId="0" applyFont="1" applyFill="1" applyBorder="1" applyAlignment="1" applyProtection="1">
      <alignment horizontal="center"/>
    </xf>
    <xf numFmtId="0" fontId="14" fillId="7" borderId="9" xfId="0" applyFont="1" applyFill="1" applyBorder="1" applyAlignment="1" applyProtection="1">
      <alignment horizontal="center"/>
    </xf>
    <xf numFmtId="0" fontId="6" fillId="8" borderId="40" xfId="0" applyFont="1" applyFill="1" applyBorder="1" applyAlignment="1" applyProtection="1">
      <alignment horizontal="center" wrapText="1"/>
      <protection locked="0"/>
    </xf>
    <xf numFmtId="0" fontId="12" fillId="8" borderId="0" xfId="0" applyFont="1" applyFill="1" applyAlignment="1" applyProtection="1">
      <alignment horizontal="left"/>
    </xf>
    <xf numFmtId="0" fontId="18" fillId="8" borderId="3" xfId="0" applyFont="1" applyFill="1" applyBorder="1" applyAlignment="1" applyProtection="1">
      <alignment horizontal="center"/>
    </xf>
    <xf numFmtId="0" fontId="5" fillId="5" borderId="23" xfId="0" applyFont="1" applyFill="1" applyBorder="1" applyAlignment="1" applyProtection="1">
      <alignment horizontal="center" vertical="center" wrapText="1"/>
    </xf>
    <xf numFmtId="0" fontId="5" fillId="5" borderId="24" xfId="0" applyFont="1" applyFill="1" applyBorder="1" applyAlignment="1" applyProtection="1">
      <alignment horizontal="center" vertical="center" wrapText="1"/>
    </xf>
    <xf numFmtId="0" fontId="12" fillId="2" borderId="0" xfId="0" applyFont="1" applyFill="1" applyAlignment="1" applyProtection="1">
      <alignment horizontal="left"/>
    </xf>
    <xf numFmtId="0" fontId="15" fillId="7" borderId="0" xfId="0" applyFont="1" applyFill="1" applyAlignment="1" applyProtection="1">
      <alignment horizontal="center"/>
    </xf>
    <xf numFmtId="0" fontId="12" fillId="7" borderId="0" xfId="0" applyFont="1" applyFill="1" applyAlignment="1" applyProtection="1">
      <alignment horizontal="center"/>
    </xf>
    <xf numFmtId="0" fontId="17" fillId="7" borderId="10" xfId="0" applyFont="1" applyFill="1" applyBorder="1" applyAlignment="1" applyProtection="1">
      <alignment horizontal="center" vertical="center" wrapText="1"/>
    </xf>
    <xf numFmtId="0" fontId="17" fillId="7" borderId="2" xfId="0" applyFont="1" applyFill="1" applyBorder="1" applyAlignment="1" applyProtection="1">
      <alignment horizontal="center" vertical="center" wrapText="1"/>
    </xf>
    <xf numFmtId="0" fontId="17" fillId="7" borderId="11" xfId="0" applyFont="1" applyFill="1" applyBorder="1" applyAlignment="1" applyProtection="1">
      <alignment horizontal="center" vertical="center" wrapText="1"/>
    </xf>
    <xf numFmtId="0" fontId="17" fillId="7" borderId="4" xfId="0" applyFont="1" applyFill="1" applyBorder="1" applyAlignment="1" applyProtection="1">
      <alignment horizontal="center" vertical="center" wrapText="1"/>
    </xf>
    <xf numFmtId="0" fontId="17" fillId="7" borderId="0" xfId="0" applyFont="1" applyFill="1" applyBorder="1" applyAlignment="1" applyProtection="1">
      <alignment horizontal="center" vertical="center" wrapText="1"/>
    </xf>
    <xf numFmtId="0" fontId="17" fillId="7" borderId="7" xfId="0"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7" fillId="7" borderId="1" xfId="0" applyFont="1" applyFill="1" applyBorder="1" applyAlignment="1" applyProtection="1">
      <alignment horizontal="center" vertical="center" wrapText="1"/>
    </xf>
    <xf numFmtId="0" fontId="17" fillId="7" borderId="9" xfId="0" applyFont="1" applyFill="1" applyBorder="1" applyAlignment="1" applyProtection="1">
      <alignment horizontal="center" vertical="center" wrapText="1"/>
    </xf>
    <xf numFmtId="0" fontId="17" fillId="7" borderId="3" xfId="0" applyFont="1" applyFill="1" applyBorder="1" applyAlignment="1" applyProtection="1">
      <alignment horizontal="center" vertical="center" wrapText="1"/>
    </xf>
    <xf numFmtId="0" fontId="12" fillId="8" borderId="0" xfId="0" applyFont="1" applyFill="1" applyAlignment="1" applyProtection="1">
      <alignment horizontal="center"/>
    </xf>
    <xf numFmtId="0" fontId="28" fillId="10" borderId="28" xfId="0" applyFont="1" applyFill="1" applyBorder="1" applyAlignment="1" applyProtection="1">
      <alignment horizontal="center"/>
    </xf>
    <xf numFmtId="0" fontId="28" fillId="10" borderId="30" xfId="0" applyFont="1" applyFill="1" applyBorder="1" applyAlignment="1" applyProtection="1">
      <alignment horizontal="center"/>
    </xf>
    <xf numFmtId="0" fontId="28" fillId="10" borderId="29" xfId="0" applyFont="1" applyFill="1" applyBorder="1" applyAlignment="1" applyProtection="1">
      <alignment horizontal="center"/>
    </xf>
    <xf numFmtId="0" fontId="26" fillId="10" borderId="36" xfId="0" applyFont="1" applyFill="1" applyBorder="1" applyAlignment="1" applyProtection="1">
      <alignment horizontal="center" vertical="center"/>
    </xf>
    <xf numFmtId="0" fontId="26" fillId="10" borderId="37" xfId="0" applyFont="1" applyFill="1" applyBorder="1" applyAlignment="1" applyProtection="1">
      <alignment horizontal="center" vertical="center"/>
    </xf>
    <xf numFmtId="0" fontId="27" fillId="10" borderId="23" xfId="0" applyFont="1" applyFill="1" applyBorder="1" applyAlignment="1" applyProtection="1">
      <alignment horizontal="center"/>
    </xf>
    <xf numFmtId="0" fontId="27" fillId="10" borderId="24" xfId="0" applyFont="1" applyFill="1" applyBorder="1" applyAlignment="1" applyProtection="1">
      <alignment horizontal="center"/>
    </xf>
    <xf numFmtId="0" fontId="27" fillId="10" borderId="25" xfId="0" applyFont="1" applyFill="1" applyBorder="1" applyAlignment="1" applyProtection="1">
      <alignment horizontal="center"/>
    </xf>
    <xf numFmtId="0" fontId="17" fillId="7" borderId="0" xfId="0" applyFont="1" applyFill="1" applyAlignment="1" applyProtection="1">
      <alignment horizontal="center"/>
    </xf>
    <xf numFmtId="0" fontId="17" fillId="7" borderId="0" xfId="0" applyFont="1" applyFill="1" applyAlignment="1" applyProtection="1">
      <alignment horizontal="right"/>
    </xf>
    <xf numFmtId="14" fontId="29" fillId="7" borderId="0" xfId="0" applyNumberFormat="1" applyFont="1" applyFill="1" applyAlignment="1" applyProtection="1">
      <alignment horizontal="right"/>
      <protection locked="0"/>
    </xf>
    <xf numFmtId="14" fontId="17" fillId="7" borderId="0" xfId="0" applyNumberFormat="1" applyFont="1" applyFill="1" applyAlignment="1" applyProtection="1">
      <alignment horizontal="right"/>
    </xf>
    <xf numFmtId="0" fontId="23" fillId="2" borderId="15" xfId="0" applyFont="1" applyFill="1" applyBorder="1" applyAlignment="1" applyProtection="1">
      <alignment horizontal="center" vertical="center" wrapText="1" readingOrder="1"/>
      <protection locked="0"/>
    </xf>
    <xf numFmtId="0" fontId="26" fillId="10" borderId="38" xfId="0" applyFont="1" applyFill="1" applyBorder="1" applyAlignment="1" applyProtection="1">
      <alignment horizontal="center" vertical="center"/>
    </xf>
    <xf numFmtId="0" fontId="26" fillId="10" borderId="0" xfId="0" applyFont="1" applyFill="1" applyBorder="1" applyAlignment="1" applyProtection="1">
      <alignment horizontal="center" vertical="center"/>
    </xf>
    <xf numFmtId="0" fontId="26" fillId="10" borderId="31" xfId="0" applyFont="1" applyFill="1" applyBorder="1" applyAlignment="1" applyProtection="1">
      <alignment horizontal="center" vertical="center"/>
    </xf>
    <xf numFmtId="0" fontId="26" fillId="10" borderId="32" xfId="0" applyFont="1" applyFill="1" applyBorder="1" applyAlignment="1" applyProtection="1">
      <alignment horizontal="center" vertical="center"/>
    </xf>
    <xf numFmtId="0" fontId="26" fillId="10" borderId="39" xfId="0" applyFont="1" applyFill="1" applyBorder="1" applyAlignment="1" applyProtection="1">
      <alignment horizontal="center" vertical="center"/>
    </xf>
    <xf numFmtId="0" fontId="26" fillId="10" borderId="33" xfId="0" applyFont="1" applyFill="1" applyBorder="1" applyAlignment="1" applyProtection="1">
      <alignment horizontal="center" vertical="center"/>
    </xf>
    <xf numFmtId="0" fontId="28" fillId="10" borderId="38" xfId="0" applyFont="1" applyFill="1" applyBorder="1" applyAlignment="1" applyProtection="1">
      <alignment horizontal="center"/>
    </xf>
    <xf numFmtId="0" fontId="28" fillId="10" borderId="39" xfId="0" applyFont="1" applyFill="1" applyBorder="1" applyAlignment="1" applyProtection="1">
      <alignment horizontal="center"/>
    </xf>
    <xf numFmtId="0" fontId="28" fillId="10" borderId="0" xfId="0" applyFont="1" applyFill="1" applyBorder="1" applyAlignment="1" applyProtection="1">
      <alignment horizontal="center"/>
    </xf>
    <xf numFmtId="0" fontId="2" fillId="8" borderId="21" xfId="0" applyFont="1" applyFill="1" applyBorder="1" applyAlignment="1" applyProtection="1">
      <alignment horizontal="center" vertical="center" wrapText="1" readingOrder="1"/>
    </xf>
    <xf numFmtId="0" fontId="24" fillId="2" borderId="28" xfId="0" applyFont="1" applyFill="1" applyBorder="1" applyAlignment="1" applyProtection="1">
      <alignment horizontal="center" vertical="center" wrapText="1" readingOrder="1"/>
      <protection locked="0"/>
    </xf>
    <xf numFmtId="0" fontId="24" fillId="2" borderId="29" xfId="0" applyFont="1" applyFill="1" applyBorder="1" applyAlignment="1" applyProtection="1">
      <alignment horizontal="center" vertical="center" wrapText="1" readingOrder="1"/>
      <protection locked="0"/>
    </xf>
    <xf numFmtId="0" fontId="24" fillId="2" borderId="30" xfId="0" applyFont="1" applyFill="1" applyBorder="1" applyAlignment="1" applyProtection="1">
      <alignment horizontal="center" vertical="center" wrapText="1" readingOrder="1"/>
      <protection locked="0"/>
    </xf>
    <xf numFmtId="0" fontId="24" fillId="2" borderId="31" xfId="0" applyFont="1" applyFill="1" applyBorder="1" applyAlignment="1" applyProtection="1">
      <alignment horizontal="center" vertical="center" wrapText="1" readingOrder="1"/>
      <protection locked="0"/>
    </xf>
    <xf numFmtId="0" fontId="24" fillId="2" borderId="32" xfId="0" applyFont="1" applyFill="1" applyBorder="1" applyAlignment="1" applyProtection="1">
      <alignment horizontal="center" vertical="center" wrapText="1" readingOrder="1"/>
      <protection locked="0"/>
    </xf>
    <xf numFmtId="0" fontId="24" fillId="2" borderId="33" xfId="0" applyFont="1" applyFill="1" applyBorder="1" applyAlignment="1" applyProtection="1">
      <alignment horizontal="center" vertical="center" wrapText="1" readingOrder="1"/>
      <protection locked="0"/>
    </xf>
  </cellXfs>
  <cellStyles count="2">
    <cellStyle name="Normal" xfId="0" builtinId="0"/>
    <cellStyle name="Normal 2" xfId="1" xr:uid="{52F8B6C9-FA00-194E-A430-4D580921EADA}"/>
  </cellStyles>
  <dxfs count="42">
    <dxf>
      <fill>
        <patternFill patternType="none">
          <fgColor indexed="64"/>
          <bgColor auto="1"/>
        </patternFill>
      </fill>
      <border diagonalUp="0" diagonalDown="0" outline="0">
        <left style="thin">
          <color theme="1"/>
        </left>
        <right style="thin">
          <color theme="1"/>
        </right>
        <top style="thin">
          <color theme="1"/>
        </top>
        <bottom style="thin">
          <color theme="1"/>
        </bottom>
      </border>
    </dxf>
    <dxf>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border diagonalUp="0" diagonalDown="0">
        <left style="thin">
          <color theme="1"/>
        </left>
        <right style="thin">
          <color theme="1"/>
        </right>
        <top style="thin">
          <color theme="1"/>
        </top>
        <bottom/>
        <vertical/>
        <horizontal/>
      </border>
    </dxf>
    <dxf>
      <fill>
        <patternFill patternType="none">
          <fgColor indexed="64"/>
          <bgColor auto="1"/>
        </patternFill>
      </fill>
      <alignment horizontal="general" vertical="bottom" textRotation="0" wrapText="1" indent="0" justifyLastLine="0" shrinkToFit="0" readingOrder="0"/>
      <border diagonalUp="0" diagonalDown="0">
        <left style="thin">
          <color theme="1"/>
        </left>
        <right style="thin">
          <color theme="1"/>
        </right>
        <top style="thin">
          <color theme="1"/>
        </top>
        <bottom/>
        <vertical/>
        <horizontal/>
      </border>
    </dxf>
    <dxf>
      <fill>
        <patternFill patternType="none">
          <fgColor indexed="64"/>
          <bgColor auto="1"/>
        </patternFill>
      </fill>
      <alignment horizontal="general" vertical="bottom" textRotation="0" wrapText="1" indent="0" justifyLastLine="0" shrinkToFit="0" readingOrder="0"/>
      <border diagonalUp="0" diagonalDown="0">
        <left style="thin">
          <color theme="1"/>
        </left>
        <right style="thin">
          <color theme="1"/>
        </right>
        <top style="thin">
          <color theme="1"/>
        </top>
        <bottom/>
        <vertical/>
        <horizontal/>
      </border>
    </dxf>
    <dxf>
      <fill>
        <patternFill patternType="none">
          <fgColor indexed="64"/>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auto="1"/>
        </patternFill>
      </fill>
      <alignment horizontal="general" vertical="bottom" textRotation="0" wrapText="1" indent="0" justifyLastLine="0" shrinkToFit="0" readingOrder="0"/>
      <border diagonalUp="0" diagonalDown="0">
        <left/>
        <right style="thin">
          <color theme="1"/>
        </right>
        <top style="thin">
          <color theme="1"/>
        </top>
        <bottom/>
        <vertical/>
        <horizontal/>
      </border>
    </dxf>
    <dxf>
      <border outline="0">
        <left style="thin">
          <color theme="1"/>
        </left>
      </border>
    </dxf>
    <dxf>
      <fill>
        <patternFill patternType="none">
          <fgColor indexed="64"/>
          <bgColor auto="1"/>
        </patternFill>
      </fill>
    </dxf>
    <dxf>
      <font>
        <b/>
        <i val="0"/>
        <strike val="0"/>
        <condense val="0"/>
        <extend val="0"/>
        <outline val="0"/>
        <shadow val="0"/>
        <u val="none"/>
        <vertAlign val="baseline"/>
        <sz val="12"/>
        <color theme="0"/>
        <name val="Calibri"/>
        <family val="2"/>
        <scheme val="minor"/>
      </font>
      <fill>
        <patternFill patternType="solid">
          <fgColor theme="4"/>
          <bgColor theme="4"/>
        </patternFill>
      </fill>
      <border diagonalUp="0" diagonalDown="0" outline="0">
        <left style="thin">
          <color theme="1"/>
        </left>
        <right style="thin">
          <color theme="1"/>
        </right>
        <top/>
        <bottom/>
      </border>
    </dxf>
    <dxf>
      <protection hidden="0"/>
    </dxf>
    <dxf>
      <protection hidden="0"/>
    </dxf>
    <dxf>
      <protection hidden="0"/>
    </dxf>
    <dxf>
      <protection hidden="0"/>
    </dxf>
    <dxf>
      <protection hidden="0"/>
    </dxf>
    <dxf>
      <protection hidden="0"/>
    </dxf>
    <dxf>
      <protection hidden="0"/>
    </dxf>
    <dxf>
      <protection hidden="0"/>
    </dxf>
    <dxf>
      <protection hidden="0"/>
    </dxf>
    <dxf>
      <protection hidden="0"/>
    </dxf>
    <dxf>
      <protection hidden="0"/>
    </dxf>
    <dxf>
      <protection hidden="0"/>
    </dxf>
    <dxf>
      <protection hidden="0"/>
    </dxf>
    <dxf>
      <protection hidden="0"/>
    </dxf>
    <dxf>
      <protection hidden="0"/>
    </dxf>
    <dxf>
      <protection hidden="0"/>
    </dxf>
    <dxf>
      <protection hidden="0"/>
    </dxf>
    <dxf>
      <protection hidden="0"/>
    </dxf>
    <dxf>
      <protection hidden="0"/>
    </dxf>
    <dxf>
      <protection hidden="0"/>
    </dxf>
    <dxf>
      <protection hidden="0"/>
    </dxf>
    <dxf>
      <protection hidden="0"/>
    </dxf>
    <dxf>
      <numFmt numFmtId="19" formatCode="dd/mm/yy"/>
      <protection hidden="0"/>
    </dxf>
    <dxf>
      <protection hidden="0"/>
    </dxf>
    <dxf>
      <protection hidden="0"/>
    </dxf>
    <dxf>
      <protection hidden="0"/>
    </dxf>
    <dxf>
      <protection hidden="0"/>
    </dxf>
    <dxf>
      <protection hidden="0"/>
    </dxf>
    <dxf>
      <protection locked="0" hidden="0"/>
    </dxf>
    <dxf>
      <protection hidden="0"/>
    </dxf>
    <dxf>
      <protection hidden="0"/>
    </dxf>
  </dxfs>
  <tableStyles count="0" defaultTableStyle="TableStyleMedium2" defaultPivotStyle="PivotStyleLight16"/>
  <colors>
    <mruColors>
      <color rgb="FF40403F"/>
      <color rgb="FF6C6C6D"/>
      <color rgb="FFE7133F"/>
      <color rgb="FFDF8C94"/>
      <color rgb="FFF2F2F2"/>
      <color rgb="FFF2F2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externalLink" Target="externalLinks/externalLink1.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25399</xdr:colOff>
      <xdr:row>0</xdr:row>
      <xdr:rowOff>76199</xdr:rowOff>
    </xdr:from>
    <xdr:to>
      <xdr:col>2</xdr:col>
      <xdr:colOff>282002</xdr:colOff>
      <xdr:row>7</xdr:row>
      <xdr:rowOff>0</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399" y="76199"/>
          <a:ext cx="1882203" cy="18669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381000</xdr:colOff>
          <xdr:row>55</xdr:row>
          <xdr:rowOff>152400</xdr:rowOff>
        </xdr:from>
        <xdr:to>
          <xdr:col>12</xdr:col>
          <xdr:colOff>533400</xdr:colOff>
          <xdr:row>57</xdr:row>
          <xdr:rowOff>12700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100" b="0" i="0" u="none" strike="noStrike" baseline="0">
                  <a:solidFill>
                    <a:srgbClr val="000000"/>
                  </a:solidFill>
                  <a:latin typeface="Calibri" pitchFamily="2" charset="0"/>
                  <a:cs typeface="Calibri" pitchFamily="2" charset="0"/>
                </a:rPr>
                <a:t>Actualizar Logros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90</xdr:row>
          <xdr:rowOff>177800</xdr:rowOff>
        </xdr:from>
        <xdr:to>
          <xdr:col>9</xdr:col>
          <xdr:colOff>393700</xdr:colOff>
          <xdr:row>91</xdr:row>
          <xdr:rowOff>203200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100" b="0" i="0" u="none" strike="noStrike" baseline="0">
                  <a:solidFill>
                    <a:srgbClr val="000000"/>
                  </a:solidFill>
                  <a:latin typeface="Calibri" pitchFamily="2" charset="0"/>
                  <a:cs typeface="Calibri" pitchFamily="2" charset="0"/>
                </a:rPr>
                <a:t>Actualizar Fecha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DPlanAccio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uario Hubspot"/>
      <sheetName val="Usuarios"/>
      <sheetName val="Academico"/>
      <sheetName val="Cargos"/>
      <sheetName val="Empresas"/>
      <sheetName val="Matriz"/>
      <sheetName val="GestorPostulacion"/>
      <sheetName val="Networking"/>
      <sheetName val="BuscadorOfertas"/>
      <sheetName val="Planes"/>
    </sheetNames>
    <sheetDataSet>
      <sheetData sheetId="0"/>
      <sheetData sheetId="1"/>
      <sheetData sheetId="2"/>
      <sheetData sheetId="3"/>
      <sheetData sheetId="4"/>
      <sheetData sheetId="5"/>
      <sheetData sheetId="6"/>
      <sheetData sheetId="7"/>
      <sheetData sheetId="8"/>
      <sheetData sheetId="9"/>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ctavio Vera Tornero" refreshedDate="44082.939817245373" createdVersion="6" refreshedVersion="6" minRefreshableVersion="3" recordCount="27" xr:uid="{86244D7E-0566-2245-AB97-3B4F990F615F}">
  <cacheSource type="worksheet">
    <worksheetSource name="Tabla2"/>
  </cacheSource>
  <cacheFields count="8">
    <cacheField name="Plan" numFmtId="0">
      <sharedItems count="6">
        <s v="Elegir un Plan"/>
        <s v="Creación Networking"/>
        <s v="Activación Networking"/>
        <s v="Reconversión"/>
        <s v="Capacitación"/>
        <s v="Empty" u="1"/>
      </sharedItems>
    </cacheField>
    <cacheField name="Objetivo" numFmtId="0">
      <sharedItems/>
    </cacheField>
    <cacheField name="Tarea 1" numFmtId="0">
      <sharedItems containsBlank="1"/>
    </cacheField>
    <cacheField name="Tarea 2" numFmtId="0">
      <sharedItems containsBlank="1" longText="1"/>
    </cacheField>
    <cacheField name="Tarea 3" numFmtId="0">
      <sharedItems containsBlank="1"/>
    </cacheField>
    <cacheField name="Tarea 4" numFmtId="0">
      <sharedItems containsBlank="1"/>
    </cacheField>
    <cacheField name="Tarea 5" numFmtId="0">
      <sharedItems containsBlank="1"/>
    </cacheField>
    <cacheField name="COMPLETE"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s v="Elegir un objetivo"/>
    <m/>
    <m/>
    <m/>
    <m/>
    <m/>
    <m/>
  </r>
  <r>
    <x v="1"/>
    <s v="Lograr detectar mis redes mas fuertes"/>
    <s v="Revisión de mi experiencia, hacer lista de personas que fueron mis jefaturas y ex compañeros de trabajo que fueron cercanos y que hoy mantengo contacto"/>
    <s v="Indagar vía linkedin en qué lugar trabajan hoy"/>
    <s v="Escribirles, contandoles que me gustaría reunirme con ellos y contarles más sobre lo que he realizado "/>
    <s v="Proponerles algún horario tentativo"/>
    <s v="Mostrarme abierto, flexible y con escucha activa"/>
    <b v="0"/>
  </r>
  <r>
    <x v="1"/>
    <s v="Ampliar mis redes mas débiles"/>
    <s v="Revisión de las redes de mis personas cercanas"/>
    <s v="Indagar empresas y rubros donde se mueven"/>
    <s v="Pedirle a mi contacto (persona cercana) si es posible me entregue su correo o contacto para escribirle"/>
    <s v="Planificar lo que deseo comunicar (llegar con un objetivo a esa reunión)."/>
    <s v="Durante la reunión mostrarme optimista,enérgico"/>
    <b v="0"/>
  </r>
  <r>
    <x v="1"/>
    <s v="Reactivar mis redes débiles"/>
    <s v="Identificar  personas de mi sector o área  de interés"/>
    <s v="Salir de mi zona de confort es una señal que estoy conociendo y abriendo nuevos contactos, o acercándome a personas que había perdido la comunicación."/>
    <s v="3.Darse el tiempo de indagar sobre los lugares que trabajan aquella personas (&quot;mapear&quot;), linkedin es un buen lugar para identificar rubros, personas y contactos mios y de otros."/>
    <s v="4. Contarle a mis redes fuertes que busco trabajo, pedir que me refieran (hacerlo de forma carismática, de a poco)."/>
    <s v="5. Luego que me refieren, conseguir aquellos correos y escribirles  contándoles de mi experiencia y revisión de alguna posible oportunidad."/>
    <b v="0"/>
  </r>
  <r>
    <x v="1"/>
    <s v="Detectar las redes de mis familiares"/>
    <s v="Identificar potenciales redes pertenecientes a mi núcleo familiar"/>
    <s v="Revisar dónde trabajan,dónde trabajaron, temas en común que puedo tener con ellos "/>
    <s v="Llegar de alguna forma a sus contactos, que mi familiar me refiera o le cuente de mí puede ser opción"/>
    <s v="Escribirle a aquella persona o que mi contacto le pueda enviar mi cv (elaborar un párrafo resumen atractivo en cuanto a cargos que podría insertarme y que demuestre una buena disposición y energía)"/>
    <s v="Si no obtengo respuesta, hacer seguimiento luego de 7-10 días."/>
    <b v="0"/>
  </r>
  <r>
    <x v="1"/>
    <s v="Conectar con redes inexistentes"/>
    <s v="Conocer a mis compañeros de LabLab,  que me conozcan"/>
    <s v="Conectar con todos, indagar empresas donde trabajaron"/>
    <s v="Realizar un mapeo de todas las empresas(anotar las que me interesen) "/>
    <s v="Revisar si tengo algún conocido que me pueda referir allí"/>
    <s v="Agregar a mi red de linkedin aquellos conocidos, personas de selección y personas de mi área."/>
    <b v="0"/>
  </r>
  <r>
    <x v="2"/>
    <s v="Incrementar red de contactos en linkedIn"/>
    <s v="Buscar a las personas que se detectaron en la matriz de networking"/>
    <s v="Enviar invitaciones personalizadas para cada contacto según grado de interés"/>
    <s v="Revisar los contactos de mi red profesional fuerte para hacer nuevas conexiones"/>
    <s v="Establecer contacto por mensajes"/>
    <s v="Ingresar al nuevo contacto a mi matriz de networiking LabLab"/>
    <b v="0"/>
  </r>
  <r>
    <x v="2"/>
    <s v="Aumentar la visualización de linkedIn"/>
    <s v="Revisar cuáles son los temas de interés de mi red"/>
    <s v="Revisar cuáles son los temas en común de la industria donde busco emplearme."/>
    <s v="Realizar xx post semanales"/>
    <s v="Realizar xx comentarios en temas de interés"/>
    <s v="Contabilizar y establecer contacto con las interacciones de los post"/>
    <b v="0"/>
  </r>
  <r>
    <x v="2"/>
    <s v="Mapear empresas y posible redes"/>
    <s v="Revisar cuáles son las empresas target de mi expertiz y área"/>
    <s v="Mapear estructura organizacional de aquellas empresas "/>
    <s v="Detectar posibles jefaturas y agregarlas a mi Red."/>
    <s v="Revisar oportunidades laborales dentro de la empresa"/>
    <s v="En caso de visualizar vacante dentro de aquellas empresas, escribirle a alguien que trabaje allí y refiere mi Cv."/>
    <b v="0"/>
  </r>
  <r>
    <x v="2"/>
    <s v="Generar buena impresión al Reclutador que visita mi perfil"/>
    <s v="Revisar dentro de mi experiencia profesional mi jefaturas, agregarlas a mi red"/>
    <s v="Solicitar a 2 ex jefaturas que me dejen una recomendación en mi perfil"/>
    <s v="Solicitar a 1 o 2 compañeros de trabajo que me dejan una recomendación"/>
    <s v="Tener actaulizado mi linkedin (atractivo y marca personal, nivel de inglés, áreas de interés y expertiz)"/>
    <s v="Dejar yo 2 recomendaciones a dos ex compañeros."/>
    <b v="0"/>
  </r>
  <r>
    <x v="2"/>
    <s v="Aumentar conocimientos en temas de Networking o Redes "/>
    <s v="Revisar clase del CJ relacionada a Networking"/>
    <s v=" Generar resumen y llevar a la práctica lo aprendido"/>
    <s v="Una vez que lo ejecuto, revisar barreras encontradas, buscar soluciones."/>
    <s v="N/A"/>
    <s v="N/A"/>
    <b v="0"/>
  </r>
  <r>
    <x v="2"/>
    <s v="Aprender y comprender la relevancia de las Redes"/>
    <s v="Revisar  libros que pueden complementar mi aprendizaje y entendimiento del tema"/>
    <s v="Generar resumen y llevar a la práctica lo aprendido"/>
    <s v="Una vez que lo ejecuto, reflexionar acerca de que siento he estado ejecutando correctamente y que podría hacer mejor."/>
    <s v="Seguir personas especialistas en temáticas de estas"/>
    <s v="Comentar en publicaciones hechas por estas"/>
    <b v="0"/>
  </r>
  <r>
    <x v="2"/>
    <s v="Conocer las redes de otros que pueden apoyar mi proceso de búsqueda"/>
    <s v="Investigar sobre quienes podrían aportar a mi proceso, y solicitar una reunión con un objetivo por delante."/>
    <s v="Contarle de mí a la persona, rubros que he trabajado, logros, cargos que podría aplicar.Tratar de ahondar en lo que planifiqué para la reunión (redes,empresas,posibles vacantes, personas que pueden referirme) hacerlo de forma sutil, generar buena impresión, para que esta persona me pueda recordar."/>
    <s v="Hacer trabajo de reflexionar y mirar hacia atrás para ver cómo han estado las reuniones. (qué ha resultado exitoso y seguir por aquella línea)."/>
    <s v="Luego de la reunión enviar correo a la persona que me reunió, agradeciéndole  por su tiempo y disposición."/>
    <s v="Luego de 10 días enviar correo para preguntarle si se le ocurre alguien que podría estar solicitando Cvs de mi expertiz."/>
    <b v="0"/>
  </r>
  <r>
    <x v="2"/>
    <s v="Mapear mis contactos, revisar cómo se conectan con mi rubro"/>
    <s v="Realizar una lista de todos mis compañeros de LabLab"/>
    <s v="Tenerlos agregados en mi linkedin, mostrarme activo (conocer de que rubros provienen)."/>
    <s v="En caso de ver una oportunidad laboral poder revisar si esa empresa o persona está conectado con algún conocido mio"/>
    <s v="Pedir ayuda a contactar si veo alguna conexión"/>
    <s v="Mostrar una actitud positiva, ser persevrante hasta llegar a tu objetivo."/>
    <b v="0"/>
  </r>
  <r>
    <x v="2"/>
    <s v="Ampliar conocimientos y áreas de expertiz (Ejecutivos)"/>
    <s v="Revisar mi perfil y definir áreas de expertiz que podría apoyar"/>
    <s v="Contactar encargado de LabLab y hacerles saber mi interés de hacer asesorías"/>
    <s v="Investigar mas de asesorías, revisar requisitos y oportunidades"/>
    <s v="Conversar con quienes hoy hacen asesorías para instruirme"/>
    <s v="Capacitarme en algún tema si es necesario"/>
    <b v="0"/>
  </r>
  <r>
    <x v="2"/>
    <s v="Desarrollo de otras áreas y ampliar mi red"/>
    <s v="Conectar con proyectos voluntarios"/>
    <s v="Revisión de proyectos que hoy están requieriendo un voluntario"/>
    <s v="Contactar personas del área que me interesa "/>
    <s v="Conocer personas, escribirles, contarles de mí y que quiero ayudar"/>
    <s v="Generar reuniones para que me conozcan y yo saber mas del proyecto"/>
    <b v="0"/>
  </r>
  <r>
    <x v="3"/>
    <s v="Lograr unificar mi objetivo de las ideas incorporadas"/>
    <s v="Explorar e indagar oportunidades que ya existen"/>
    <s v="Generar ideas de lo que deseo"/>
    <s v="Revisión de éxito, estimación ganancias, criterio realidad v/s lo que deseo. Desarrollar modelo de negocio"/>
    <s v="N/A"/>
    <s v="N/A"/>
    <b v="0"/>
  </r>
  <r>
    <x v="3"/>
    <s v="Revisión de la competencia "/>
    <s v="Hacer lista de la posible competencia (buscar asesoría de experto)"/>
    <s v="Indagar sobre el producto ya existente en el mercado (conocerlo, revisión de éxito, factores de éxito)"/>
    <s v="Revisión de éxito, estimación ganancias, criterio realidad v/s lo que deseo"/>
    <s v="N/A"/>
    <s v="N/A"/>
    <b v="0"/>
  </r>
  <r>
    <x v="3"/>
    <s v="Lograr estar informado sobre aspectos legales"/>
    <s v="Revisión temas legales requeridos"/>
    <s v="Revisar página Sercotec y solicitar asesoría"/>
    <s v="Plantear dudas, ideas, revisión costos, ect."/>
    <s v="N/A"/>
    <s v="N/A"/>
    <b v="0"/>
  </r>
  <r>
    <x v="3"/>
    <s v="Indagar sobre sitios de apoyo "/>
    <s v="Ordenar ideas y recopilar información entregada por expertos"/>
    <s v="Buscar otros sitios de apoyo (Corfo)"/>
    <s v="Analizar todas las variables estudiados y recopiladas para definir el mejor plan"/>
    <s v="N/A"/>
    <s v="N/A"/>
    <b v="0"/>
  </r>
  <r>
    <x v="3"/>
    <s v="Evaluar otras posibilidades laborales"/>
    <s v="Analizar ¿Qué asesoría podría entregar yo?"/>
    <s v="Detectar mis recursos, habilidades y conocimientos."/>
    <s v="Definir asesoría como profesional o prestador de servicios (indagar temas legales, beneficios, ect)"/>
    <s v="Revisar  lugares donde podría impartir mis servicios"/>
    <s v="Definir tiempo y objetivo (si esto lo haré mientras busco trabajo habrá que crear un horario para destinar tiempo a la búsqueda también)"/>
    <b v="0"/>
  </r>
  <r>
    <x v="3"/>
    <s v="Analizar beneficios de ser Consultor o Asesor"/>
    <s v="Responder a la pregunta ¿de que forma me beneficiará hacia mi objetivo  desarrollarme por esta área?"/>
    <s v="Tener claro mi objetivo (si deseo hacerlo mientras encuentro trabajo o si lo veo como trabajo a largo plazo)"/>
    <s v="En caso de ser consultor o asesor mientras busco trabajo sería necesario replantear  horario  y tiempos destinado a búsqueda laboral, para mantener el foco en lo que deseo lograr."/>
    <s v="Poder definir mi oferta de valor hacia esa consultoría específica al momento de tener reunión o entrevista"/>
    <s v="Estar atento a dudas que pueden surgir, responder con firmeza y seguridad."/>
    <b v="0"/>
  </r>
  <r>
    <x v="3"/>
    <s v="Mantener mi marca personal atractiva"/>
    <s v="Utilizar mi experiencia como consultor de forma asertiva, poder explayarlo en mi Cv"/>
    <s v="Dentro de mi Cv hacerle ver al reclutador que esto es un aporte hacia donde quiero desarrollarme"/>
    <s v="Tener claro mi discurso al momento de tener entrevista (cómo plantearé el estar desarrollando una consultoría en este momento, manejar plazo de término)"/>
    <s v="Durante la entrevista; hacer referencia que si bien estoy realizando una asesoría es con el fin de mantenerme aprendiendo y que mi interés va orientado haciala oferta laboral postulada"/>
    <s v="Comentarle sobre mis aptitudes que me han favorecido dentro de mi rol como consultor,  por ejemplo mi rápida capacidad de adaptarme a diversos contextos."/>
    <b v="0"/>
  </r>
  <r>
    <x v="3"/>
    <s v="Conocer sobre posibles negocios"/>
    <s v="Búsqueda detellada sobre franquicias en chile (franquicias chile y en LabLab)."/>
    <s v="Solicitar información de interés dentro de la página o experto de LabLab"/>
    <s v="Tener &quot;diario de apuntes&quot; con toda la información recopilada y ordenada sobre lo investigado"/>
    <s v="Hacer preguntas  aquienes hoy tienen franquicias, plantear dudas"/>
    <s v="Revisar costos, pérdidas, etc."/>
    <b v="0"/>
  </r>
  <r>
    <x v="3"/>
    <s v="Indagar competencia y franquicias ya existentes"/>
    <s v="Análisis de las franquicias ya existentes"/>
    <s v="Revisión de productos que me interesan (indagar valores, calidad, promesa futura, viabilidad, estimación éxito)"/>
    <s v="Filtrar,preguntar,pedir el producto para ver como llega,cuanto demora,opiniones"/>
    <s v="Revisión de mercado, comparación de costos y valores. Análisis de temas legales y papeleo requerido."/>
    <s v="Evaluación de interés por el producto en chile."/>
    <b v="0"/>
  </r>
  <r>
    <x v="3"/>
    <s v="Elegir producto"/>
    <s v="Elección de producto"/>
    <s v="Definir ubicación de acuerdo a mi publico objetivo y producto"/>
    <s v="Definir número de personas que trabajarán, tipo de atención."/>
    <s v="Revisión de costos de todo ya analizado profundamente"/>
    <s v="Asesorarme acorde a mi elección y decisión "/>
    <b v="0"/>
  </r>
  <r>
    <x v="4"/>
    <s v="Incrementar el conocimiento y desarrollar nuevas habilidades"/>
    <s v="Rrevisión de temas que hoy están siendo crucielas que maneje dentro de mis cargos de interés"/>
    <s v="Indagar sobre los diversos cursos que existen, revisar tiempos y certificación."/>
    <s v="Tener una actitud positiva hacia el aprendizaje y desarrollo de nuevas habilidades"/>
    <s v="Luego de haber elegido curso, hacerse horario para poder complementarlo con búsqueda y postulaciones."/>
    <s v="Luego de  finalizado el curso, agregarlo a Cv y linkedin."/>
    <b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777E09-0A68-8F42-8FA8-B3D726E9B2A1}" name="TablaDinámica1" cacheId="306"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K2:K8" firstHeaderRow="1" firstDataRow="1" firstDataCol="1"/>
  <pivotFields count="8">
    <pivotField axis="axisRow" showAll="0" sortType="descending">
      <items count="7">
        <item x="3"/>
        <item m="1" x="5"/>
        <item x="0"/>
        <item x="1"/>
        <item x="4"/>
        <item x="2"/>
        <item t="default"/>
      </items>
    </pivotField>
    <pivotField showAll="0"/>
    <pivotField showAll="0"/>
    <pivotField showAll="0"/>
    <pivotField showAll="0"/>
    <pivotField showAll="0"/>
    <pivotField showAll="0"/>
    <pivotField showAll="0"/>
  </pivotFields>
  <rowFields count="1">
    <field x="0"/>
  </rowFields>
  <rowItems count="6">
    <i>
      <x/>
    </i>
    <i>
      <x v="2"/>
    </i>
    <i>
      <x v="3"/>
    </i>
    <i>
      <x v="4"/>
    </i>
    <i>
      <x v="5"/>
    </i>
    <i t="grand">
      <x/>
    </i>
  </rowItems>
  <colItems count="1">
    <i/>
  </colItems>
  <pivotTableStyleInfo name="PivotStyleLight16" showRowHeaders="1" showColHeaders="1" showRowStripes="0" showColStripes="0" showLastColumn="1"/>
  <filters count="1">
    <filter fld="0" type="captionContains" evalOrder="-1" id="1" stringValue1="">
      <autoFilter ref="A1">
        <filterColumn colId="0">
          <customFilters>
            <customFilter val="**"/>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85F25C-8F08-CA4E-8831-D6AA9B217336}" name="Tabla1" displayName="Tabla1" ref="A1:AC2" totalsRowShown="0" headerRowDxfId="41" dataDxfId="40">
  <autoFilter ref="A1:AC2" xr:uid="{0EFE677D-68EF-6742-B541-5E43FEFAE2A2}"/>
  <tableColumns count="29">
    <tableColumn id="1" xr3:uid="{1C805B0D-7CA3-C540-AF3F-A61204587140}" name="RUT" dataDxfId="39" dataCellStyle="Normal 2"/>
    <tableColumn id="17" xr3:uid="{37CB5270-4331-3C4F-82D2-F8FE4589BA27}" name="UID" dataDxfId="38">
      <calculatedColumnFormula>IF(ISERROR(INDEX([1]!Tabla7[#Data],MATCH(Tabla1[[#This Row],[RUT]],[1]!Tabla7[RUT],0),1)),"",INDEX([1]!Tabla7[#Data],MATCH(Tabla1[[#This Row],[RUT]],[1]!Tabla7[RUT],0),1))</calculatedColumnFormula>
    </tableColumn>
    <tableColumn id="2" xr3:uid="{8EB0CAA5-BB63-8E49-8DFF-45E0BA7A1C36}" name="NOMBRE" dataDxfId="37">
      <calculatedColumnFormula>IF(ISERROR(VLOOKUP(Tabla1[[#This Row],[UID]],[1]!Tabla7[#Data],2,FALSE)),"",VLOOKUP(Tabla1[[#This Row],[UID]],[1]!Tabla7[#Data],2,FALSE))</calculatedColumnFormula>
    </tableColumn>
    <tableColumn id="3" xr3:uid="{1F365278-FB66-5B4D-A453-04378F5EA946}" name="PROFESION" dataDxfId="36">
      <calculatedColumnFormula>IF(ISERROR(VLOOKUP(Tabla1[[#This Row],[UID]],[1]!Tabla9[#Data],4,FALSE)),"",VLOOKUP(Tabla1[[#This Row],[UID]],[1]!Tabla9[#Data],4,FALSE))</calculatedColumnFormula>
    </tableColumn>
    <tableColumn id="4" xr3:uid="{F3D6FB0F-D479-B146-8D05-1E50A9B3143D}" name="ULTIMA INSTITUCION ACADEMICA" dataDxfId="35">
      <calculatedColumnFormula>IF(ISERROR(VLOOKUP(Tabla1[[#This Row],[UID]],[1]!Tabla9[#Data],5,FALSE)),"",VLOOKUP(Tabla1[[#This Row],[UID]],[1]!Tabla9[#Data],5,FALSE))</calculatedColumnFormula>
    </tableColumn>
    <tableColumn id="5" xr3:uid="{6F13A4AE-79BB-354B-B82C-67A4D4D5B022}" name="COACH" dataDxfId="34">
      <calculatedColumnFormula>IF(ISERROR(VLOOKUP(Tabla1[[#This Row],[RUT]],[1]!Tabla2[[RUT]:[Deal owner]],6,FALSE)),"",VLOOKUP(Tabla1[[#This Row],[RUT]],[1]!Tabla2[[RUT]:[Deal owner]],6,FALSE))</calculatedColumnFormula>
    </tableColumn>
    <tableColumn id="6" xr3:uid="{B8D167D2-63EA-7047-BC76-C0932E505183}" name="FECHA DE ENTRADA" dataDxfId="33">
      <calculatedColumnFormula>IF(ISERROR(VLOOKUP(Tabla1[[#This Row],[RUT]],[1]!Tabla2[[RUT]:[Deal owner]],2,FALSE)),"",VLOOKUP(Tabla1[[#This Row],[RUT]],[1]!Tabla2[[RUT]:[Deal owner]],2,FALSE))</calculatedColumnFormula>
    </tableColumn>
    <tableColumn id="7" xr3:uid="{C7FED50E-CE5B-9842-AC01-836581D31462}" name="CARGO1" dataDxfId="32">
      <calculatedColumnFormula>IF(ISERROR(VLOOKUP(_xlfn.CONCAT(Tabla1[[#This Row],[UID]],"-",1),[1]!Tabla3[[user-order]:[intervalue]],2,FALSE)),"",VLOOKUP(_xlfn.CONCAT(Tabla1[[#This Row],[UID]],"-",1),[1]!Tabla3[[user-order]:[intervalue]],2,FALSE))</calculatedColumnFormula>
    </tableColumn>
    <tableColumn id="8" xr3:uid="{59212189-4A27-9346-9019-5CE002A22C4F}" name="CARGO2" dataDxfId="31">
      <calculatedColumnFormula>IF(ISERROR(VLOOKUP(_xlfn.CONCAT(Tabla1[[#This Row],[UID]],"-",2),[1]!Tabla3[[user-order]:[intervalue]],2,FALSE)),"",VLOOKUP(_xlfn.CONCAT(Tabla1[[#This Row],[UID]],"-",2),[1]!Tabla3[[user-order]:[intervalue]],2,FALSE))</calculatedColumnFormula>
    </tableColumn>
    <tableColumn id="9" xr3:uid="{D049901A-3609-2E42-8BE8-22A14273AE18}" name="CARGO3" dataDxfId="30">
      <calculatedColumnFormula>IF(ISERROR(VLOOKUP(_xlfn.CONCAT(Tabla1[[#This Row],[UID]],"-",3),[1]!Tabla3[[user-order]:[intervalue]],2,FALSE)),"",VLOOKUP(_xlfn.CONCAT(Tabla1[[#This Row],[UID]],"-",3),[1]!Tabla3[[user-order]:[intervalue]],2,FALSE))</calculatedColumnFormula>
    </tableColumn>
    <tableColumn id="10" xr3:uid="{3827E9F4-C351-7340-A07B-61C78093F94D}" name="CARGO4" dataDxfId="29">
      <calculatedColumnFormula>IF(ISERROR(VLOOKUP(_xlfn.CONCAT(Tabla1[[#This Row],[UID]],"-",4),[1]!Tabla3[[user-order]:[intervalue]],2,FALSE)),"",VLOOKUP(_xlfn.CONCAT(Tabla1[[#This Row],[UID]],"-",4),[1]!Tabla3[[user-order]:[intervalue]],2,FALSE))</calculatedColumnFormula>
    </tableColumn>
    <tableColumn id="11" xr3:uid="{8A3B55D4-D605-304A-B981-2F13C274D19D}" name="CARGO5" dataDxfId="28">
      <calculatedColumnFormula>IF(ISERROR(VLOOKUP(_xlfn.CONCAT(Tabla1[[#This Row],[UID]],"-",5),[1]!Tabla3[[user-order]:[intervalue]],2,FALSE)),"",VLOOKUP(_xlfn.CONCAT(Tabla1[[#This Row],[UID]],"-",5),[1]!Tabla3[[user-order]:[intervalue]],2,FALSE))</calculatedColumnFormula>
    </tableColumn>
    <tableColumn id="12" xr3:uid="{CF978CC4-E608-9642-AF36-F2586672C5A3}" name="EMPRESA1" dataDxfId="27">
      <calculatedColumnFormula>IF(ISERROR(VLOOKUP(_xlfn.CONCAT(Tabla1[[#This Row],[UID]],"-",1),[1]!Tabla4[[user-order]:[name]],2,FALSE)),"",VLOOKUP(_xlfn.CONCAT(Tabla1[[#This Row],[UID]],"-",1),[1]!Tabla4[[user-order]:[name]],2,FALSE))</calculatedColumnFormula>
    </tableColumn>
    <tableColumn id="13" xr3:uid="{590F4ADE-FC6F-024B-A4E9-1BF44787B923}" name="EMPRESA2" dataDxfId="26">
      <calculatedColumnFormula>IF(ISERROR(VLOOKUP(_xlfn.CONCAT(Tabla1[[#This Row],[UID]],"-",2),[1]!Tabla4[[user-order]:[name]],2,FALSE)),"",VLOOKUP(_xlfn.CONCAT(Tabla1[[#This Row],[UID]],"-",2),[1]!Tabla4[[user-order]:[name]],2,FALSE))</calculatedColumnFormula>
    </tableColumn>
    <tableColumn id="14" xr3:uid="{75AB17D3-B229-654D-9923-C11047D838BA}" name="EMPRESA3" dataDxfId="25">
      <calculatedColumnFormula>IF(ISERROR(VLOOKUP(_xlfn.CONCAT(Tabla1[[#This Row],[UID]],"-",3),[1]!Tabla4[[user-order]:[name]],2,FALSE)),"",VLOOKUP(_xlfn.CONCAT(Tabla1[[#This Row],[UID]],"-",3),[1]!Tabla4[[user-order]:[name]],2,FALSE))</calculatedColumnFormula>
    </tableColumn>
    <tableColumn id="15" xr3:uid="{EC1EE6B0-CF41-C342-A3C6-9894633C3CAC}" name="EMPRESA4" dataDxfId="24">
      <calculatedColumnFormula>IF(ISERROR(VLOOKUP(_xlfn.CONCAT(Tabla1[[#This Row],[UID]],"-",4),[1]!Tabla4[[user-order]:[name]],2,FALSE)),"",VLOOKUP(_xlfn.CONCAT(Tabla1[[#This Row],[UID]],"-",4),[1]!Tabla4[[user-order]:[name]],2,FALSE))</calculatedColumnFormula>
    </tableColumn>
    <tableColumn id="16" xr3:uid="{064DF4BA-53AC-B040-A2E7-F2B69FD5D1C8}" name="EMPRESA5" dataDxfId="23">
      <calculatedColumnFormula>IF(ISERROR(VLOOKUP(_xlfn.CONCAT(Tabla1[[#This Row],[UID]],"-",5),[1]!Tabla4[[user-order]:[name]],2,FALSE)),"",VLOOKUP(_xlfn.CONCAT(Tabla1[[#This Row],[UID]],"-",5),[1]!Tabla4[[user-order]:[name]],2,FALSE))</calculatedColumnFormula>
    </tableColumn>
    <tableColumn id="18" xr3:uid="{D4E36A72-6B50-2742-97C6-AB735E742D34}" name="Fortalezas Conocidas" dataDxfId="22">
      <calculatedColumnFormula>IF(ISERROR(VLOOKUP(_xlfn.CONCAT(Tabla1[[#This Row],[UID]],"-known-strengths-VERDADERO"),[1]!Tabla5[[Search ID]:[texto acumulado]],8,FALSE)),"No hay",VLOOKUP(_xlfn.CONCAT(Tabla1[[#This Row],[UID]],"-known-strengths-VERDADERO"),[1]!Tabla5[[Search ID]:[texto acumulado]],8,FALSE))</calculatedColumnFormula>
    </tableColumn>
    <tableColumn id="19" xr3:uid="{CA5A5DB1-3969-8E48-A871-0ACA5514711E}" name="Fortalezas Desconocidas" dataDxfId="21">
      <calculatedColumnFormula>IF(ISERROR(VLOOKUP(_xlfn.CONCAT(Tabla1[[#This Row],[UID]],"-unknown-strengths-VERDADERO"),[1]!Tabla5[[Search ID]:[texto acumulado]],8,FALSE)),"No hay",VLOOKUP(_xlfn.CONCAT(Tabla1[[#This Row],[UID]],"-unknown-strengths-VERDADERO"),[1]!Tabla5[[Search ID]:[texto acumulado]],8,FALSE))</calculatedColumnFormula>
    </tableColumn>
    <tableColumn id="20" xr3:uid="{017B3909-CE4E-A640-ADCF-0C933FE3F798}" name="Oportunidades mejora corto plazo" dataDxfId="20">
      <calculatedColumnFormula>IF(ISERROR(VLOOKUP(_xlfn.CONCAT(Tabla1[[#This Row],[UID]],"-short-term-VERDADERO"),[1]!Tabla5[[Search ID]:[texto acumulado]],8,FALSE)),"No hay",VLOOKUP(_xlfn.CONCAT(Tabla1[[#This Row],[UID]],"-short-term-VERDADERO"),[1]!Tabla5[[Search ID]:[texto acumulado]],8,FALSE))</calculatedColumnFormula>
    </tableColumn>
    <tableColumn id="21" xr3:uid="{E91876AD-B695-564C-A901-4F46B174E9C9}" name="Oportunidades mejora largo plazo" dataDxfId="19">
      <calculatedColumnFormula>IF(ISERROR(VLOOKUP(_xlfn.CONCAT(Tabla1[[#This Row],[UID]],"-long-term-VERDADERO"),[1]!Tabla5[[Search ID]:[texto acumulado]],8,FALSE)),"No hay",VLOOKUP(_xlfn.CONCAT(Tabla1[[#This Row],[UID]],"-long-term-VERDADERO"),[1]!Tabla5[[Search ID]:[texto acumulado]],8,FALSE))</calculatedColumnFormula>
    </tableColumn>
    <tableColumn id="22" xr3:uid="{CF78546F-497E-2F47-AB87-7B2CEF9161C4}" name="GestorPosPostuladasMes" dataDxfId="18">
      <calculatedColumnFormula>COUNTIF([1]!Tabla6[SearchValueMonth],_xlfn.CONCAT(Tabla1[[#This Row],[UID]],"-Postulado"))</calculatedColumnFormula>
    </tableColumn>
    <tableColumn id="24" xr3:uid="{8AF409D9-89F1-5F45-8923-AA9F4BE18494}" name="GestorPosEnEntrevistaMes" dataDxfId="17">
      <calculatedColumnFormula>COUNTIF([1]!Tabla6[SearchValueMonth],_xlfn.CONCAT(Tabla1[[#This Row],[UID]],"-En entrevista"))</calculatedColumnFormula>
    </tableColumn>
    <tableColumn id="25" xr3:uid="{9ED265B5-371E-3E4D-B621-FAB73F133308}" name="GestorPosPostuladasWeek" dataDxfId="16">
      <calculatedColumnFormula>COUNTIF([1]!Tabla6[SearchValueWeek],_xlfn.CONCAT(Tabla1[[#This Row],[UID]],"-Postulado"))</calculatedColumnFormula>
    </tableColumn>
    <tableColumn id="27" xr3:uid="{0A3D7CC5-51F5-2540-A8F5-D01AA9734F9A}" name="GestorPosEnEntrevistaWeek" dataDxfId="15">
      <calculatedColumnFormula>COUNTIF([1]!Tabla6[SearchValueWeek],_xlfn.CONCAT(Tabla1[[#This Row],[UID]],"-En entrevista"))</calculatedColumnFormula>
    </tableColumn>
    <tableColumn id="28" xr3:uid="{DB9BABA3-518F-5A47-A7EC-BF2708A4EDE0}" name="NetworkingMes" dataDxfId="14">
      <calculatedColumnFormula>COUNTIF([1]!Tabla10[SearchValueMonth],Tabla1[[#This Row],[UID]])</calculatedColumnFormula>
    </tableColumn>
    <tableColumn id="29" xr3:uid="{D1D4A764-FB37-C348-B446-394278F898DF}" name="NetworkingWeek" dataDxfId="13">
      <calculatedColumnFormula>COUNTIF([1]!Tabla10[SearchValueWeek],Tabla1[[#This Row],[UID]])</calculatedColumnFormula>
    </tableColumn>
    <tableColumn id="30" xr3:uid="{0636DD6E-939C-9844-BB1E-557CFCBBE2E4}" name="OfertasMes" dataDxfId="12">
      <calculatedColumnFormula>COUNTIF([1]!Tabla11[SearchValueMonth],Tabla1[[#This Row],[UID]])</calculatedColumnFormula>
    </tableColumn>
    <tableColumn id="31" xr3:uid="{DFF84328-4DF7-B240-9983-CEF65C8F5983}" name="OfertasWeek" dataDxfId="11">
      <calculatedColumnFormula>COUNTIF([1]!Tabla11[SearchValueWeek],Tabla1[[#This Row],[UID]])</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A17792-7210-E34B-92B3-DF66A2562251}" name="Tabla2" displayName="Tabla2" ref="A1:H28" totalsRowShown="0" headerRowDxfId="10" dataDxfId="9" tableBorderDxfId="8">
  <autoFilter ref="A1:H28" xr:uid="{BCDCE8C0-60C8-1C49-883E-588CC79B0EE3}"/>
  <tableColumns count="8">
    <tableColumn id="1" xr3:uid="{7788B3FC-D15E-DF47-AF1E-6FDF6FD681CB}" name="Plan" dataDxfId="7"/>
    <tableColumn id="2" xr3:uid="{F940251A-CC4B-BB41-AB3E-B5ED731D94B8}" name="Objetivo" dataDxfId="6"/>
    <tableColumn id="3" xr3:uid="{3003A0C0-28FF-4546-A5E3-C767CD2293F2}" name="Tarea 1" dataDxfId="5"/>
    <tableColumn id="4" xr3:uid="{582B3329-F748-904E-9F06-500225A438DD}" name="Tarea 2" dataDxfId="4"/>
    <tableColumn id="5" xr3:uid="{4928B59C-8B9F-EE44-8F86-DC6E1E6B9D84}" name="Tarea 3" dataDxfId="3"/>
    <tableColumn id="6" xr3:uid="{1CA8022A-311E-4B40-A8C7-80DFE92D59F5}" name="Tarea 4" dataDxfId="2"/>
    <tableColumn id="7" xr3:uid="{3B8C2E6D-11EF-EC4D-92B6-6E4B9A7FDDC2}" name="Tarea 5" dataDxfId="1"/>
    <tableColumn id="8" xr3:uid="{6CF45C24-BB70-7940-BB91-79D11E8BF6C7}" name="COMPLETE"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EA1A7-7459-ED4A-8DC7-028B53FE881E}">
  <sheetPr codeName="Hoja1"/>
  <dimension ref="A1:O136"/>
  <sheetViews>
    <sheetView topLeftCell="A2" workbookViewId="0">
      <selection activeCell="G39" sqref="G39:M40"/>
    </sheetView>
  </sheetViews>
  <sheetFormatPr baseColWidth="10" defaultColWidth="0" defaultRowHeight="15" zeroHeight="1" x14ac:dyDescent="0.2"/>
  <cols>
    <col min="1" max="1" width="8" style="16" customWidth="1"/>
    <col min="2" max="2" width="13.33203125" style="16" customWidth="1"/>
    <col min="3" max="3" width="4.1640625" style="16" customWidth="1"/>
    <col min="4" max="4" width="19.83203125" style="16" customWidth="1"/>
    <col min="5" max="5" width="3.83203125" style="16" customWidth="1"/>
    <col min="6" max="6" width="17.83203125" style="16" customWidth="1"/>
    <col min="7" max="7" width="20.33203125" style="16" customWidth="1"/>
    <col min="8" max="8" width="18.6640625" style="16" customWidth="1"/>
    <col min="9" max="9" width="17.83203125" style="16" customWidth="1"/>
    <col min="10" max="14" width="9.6640625" style="16" customWidth="1"/>
    <col min="15" max="15" width="5.5" style="16" customWidth="1"/>
    <col min="16" max="16384" width="10.83203125" style="16" hidden="1"/>
  </cols>
  <sheetData>
    <row r="1" spans="1:15" s="17" customFormat="1" x14ac:dyDescent="0.2">
      <c r="A1" s="24"/>
      <c r="B1" s="24"/>
      <c r="C1" s="24"/>
      <c r="D1" s="24"/>
      <c r="E1" s="24"/>
      <c r="F1" s="24"/>
      <c r="G1" s="24"/>
      <c r="H1" s="24"/>
      <c r="I1" s="24"/>
      <c r="J1" s="24"/>
      <c r="K1" s="24"/>
      <c r="L1" s="24"/>
      <c r="M1" s="24"/>
      <c r="N1" s="24"/>
      <c r="O1" s="24"/>
    </row>
    <row r="2" spans="1:15" s="17" customFormat="1" ht="37" x14ac:dyDescent="0.45">
      <c r="A2" s="24"/>
      <c r="B2" s="24"/>
      <c r="C2" s="24"/>
      <c r="D2" s="24"/>
      <c r="E2" s="104" t="s">
        <v>0</v>
      </c>
      <c r="F2" s="104"/>
      <c r="G2" s="104"/>
      <c r="H2" s="104"/>
      <c r="I2" s="104"/>
      <c r="J2" s="104"/>
      <c r="K2" s="25"/>
      <c r="L2" s="24"/>
      <c r="M2" s="24"/>
      <c r="N2" s="24"/>
      <c r="O2" s="24"/>
    </row>
    <row r="3" spans="1:15" s="17" customFormat="1" ht="11" customHeight="1" x14ac:dyDescent="0.2">
      <c r="A3" s="24"/>
      <c r="B3" s="24"/>
      <c r="C3" s="24"/>
      <c r="D3" s="24"/>
      <c r="E3" s="24"/>
      <c r="F3" s="24"/>
      <c r="G3" s="24"/>
      <c r="H3" s="24"/>
      <c r="I3" s="24"/>
      <c r="J3" s="24"/>
      <c r="K3" s="24"/>
      <c r="L3" s="24"/>
      <c r="M3" s="24"/>
      <c r="N3" s="24"/>
      <c r="O3" s="24"/>
    </row>
    <row r="4" spans="1:15" s="17" customFormat="1" ht="25" customHeight="1" x14ac:dyDescent="0.45">
      <c r="A4" s="24"/>
      <c r="B4" s="24"/>
      <c r="C4" s="24"/>
      <c r="D4" s="26" t="str" cm="1">
        <f t="array" ref="D4">Tabla1[NOMBRE]</f>
        <v>Andrés Calvert Raddatz</v>
      </c>
      <c r="E4" s="25"/>
      <c r="F4" s="25"/>
      <c r="G4" s="25"/>
      <c r="H4" s="25"/>
      <c r="I4" s="25"/>
      <c r="J4" s="24"/>
      <c r="K4" s="126" t="str" cm="1">
        <f t="array" ref="K4">Tabla1[COACH]</f>
        <v>María Teresa Ferrada</v>
      </c>
      <c r="L4" s="126"/>
      <c r="M4" s="126"/>
      <c r="N4" s="49"/>
      <c r="O4" s="24"/>
    </row>
    <row r="5" spans="1:15" s="17" customFormat="1" ht="25" customHeight="1" x14ac:dyDescent="0.25">
      <c r="A5" s="24"/>
      <c r="B5" s="24"/>
      <c r="C5" s="24"/>
      <c r="D5" s="27" t="str" cm="1">
        <f t="array" ref="D5">Tabla1[PROFESION]</f>
        <v>Ingeniería de Ejecución en Administración</v>
      </c>
      <c r="E5" s="24"/>
      <c r="F5" s="24"/>
      <c r="G5" s="24"/>
      <c r="H5" s="24"/>
      <c r="I5" s="24"/>
      <c r="J5" s="125" t="s">
        <v>42</v>
      </c>
      <c r="K5" s="125"/>
      <c r="L5" s="127">
        <v>44082</v>
      </c>
      <c r="M5" s="127"/>
      <c r="N5" s="50"/>
      <c r="O5" s="24"/>
    </row>
    <row r="6" spans="1:15" s="17" customFormat="1" ht="25" customHeight="1" x14ac:dyDescent="0.25">
      <c r="A6" s="24"/>
      <c r="B6" s="24"/>
      <c r="C6" s="24"/>
      <c r="D6" s="27" t="str" cm="1">
        <f t="array" ref="D6">Tabla1[ULTIMA INSTITUCION ACADEMICA]</f>
        <v>Universidad Diego Portales - Chile</v>
      </c>
      <c r="E6" s="24"/>
      <c r="F6" s="24"/>
      <c r="G6" s="24"/>
      <c r="H6" s="24"/>
      <c r="I6" s="24"/>
      <c r="J6" s="125" t="s">
        <v>43</v>
      </c>
      <c r="K6" s="125"/>
      <c r="L6" s="128" cm="1">
        <f t="array" ref="L6">Tabla1[FECHA DE ENTRADA]</f>
        <v>44095</v>
      </c>
      <c r="M6" s="128"/>
      <c r="N6" s="50"/>
      <c r="O6" s="24"/>
    </row>
    <row r="7" spans="1:15" s="17" customFormat="1" x14ac:dyDescent="0.2">
      <c r="A7" s="24"/>
      <c r="B7" s="24"/>
      <c r="C7" s="24"/>
      <c r="D7" s="24"/>
      <c r="E7" s="24"/>
      <c r="F7" s="24"/>
      <c r="G7" s="24"/>
      <c r="H7" s="24"/>
      <c r="I7" s="24"/>
      <c r="J7" s="24"/>
      <c r="K7" s="24"/>
      <c r="L7" s="24"/>
      <c r="M7" s="24"/>
      <c r="N7" s="24"/>
      <c r="O7" s="24"/>
    </row>
    <row r="8" spans="1:15" s="17" customFormat="1" x14ac:dyDescent="0.2">
      <c r="A8" s="24"/>
      <c r="B8" s="24"/>
      <c r="C8" s="24"/>
      <c r="D8" s="24"/>
      <c r="E8" s="24"/>
      <c r="F8" s="24"/>
      <c r="G8" s="24"/>
      <c r="H8" s="24"/>
      <c r="I8" s="24"/>
      <c r="J8" s="24"/>
      <c r="K8" s="24"/>
      <c r="L8" s="24"/>
      <c r="M8" s="24"/>
      <c r="N8" s="24"/>
      <c r="O8" s="24"/>
    </row>
    <row r="9" spans="1:15" s="20" customFormat="1" x14ac:dyDescent="0.2">
      <c r="A9" s="28"/>
      <c r="B9" s="28"/>
      <c r="C9" s="28"/>
      <c r="D9" s="28"/>
      <c r="E9" s="28"/>
      <c r="F9" s="28"/>
      <c r="G9" s="28"/>
      <c r="H9" s="28"/>
      <c r="I9" s="28"/>
      <c r="J9" s="28"/>
      <c r="K9" s="28"/>
      <c r="L9" s="28"/>
      <c r="M9" s="28"/>
      <c r="N9" s="28"/>
      <c r="O9" s="28"/>
    </row>
    <row r="10" spans="1:15" s="20" customFormat="1" ht="26" x14ac:dyDescent="0.3">
      <c r="A10" s="28"/>
      <c r="B10" s="29" t="s">
        <v>2</v>
      </c>
      <c r="C10" s="30"/>
      <c r="D10" s="30"/>
      <c r="E10" s="30"/>
      <c r="F10" s="30"/>
      <c r="G10" s="30"/>
      <c r="H10" s="30"/>
      <c r="I10" s="30"/>
      <c r="J10" s="31"/>
      <c r="K10" s="31"/>
      <c r="L10" s="28"/>
      <c r="M10" s="31" t="s">
        <v>3</v>
      </c>
      <c r="N10" s="31"/>
      <c r="O10" s="28"/>
    </row>
    <row r="11" spans="1:15" s="20" customFormat="1" ht="21" x14ac:dyDescent="0.25">
      <c r="A11" s="28"/>
      <c r="B11" s="32" t="s">
        <v>1</v>
      </c>
      <c r="C11" s="28"/>
      <c r="D11" s="28"/>
      <c r="E11" s="28"/>
      <c r="F11" s="28"/>
      <c r="G11" s="28"/>
      <c r="H11" s="61" t="s">
        <v>232</v>
      </c>
      <c r="I11" s="61" t="s">
        <v>219</v>
      </c>
      <c r="J11" s="122" t="s">
        <v>220</v>
      </c>
      <c r="K11" s="123"/>
      <c r="L11" s="123"/>
      <c r="M11" s="124"/>
      <c r="N11" s="28"/>
      <c r="O11" s="28"/>
    </row>
    <row r="12" spans="1:15" s="20" customFormat="1" x14ac:dyDescent="0.2">
      <c r="A12" s="28"/>
      <c r="B12" s="28"/>
      <c r="C12" s="28"/>
      <c r="D12" s="28"/>
      <c r="E12" s="28"/>
      <c r="F12" s="28"/>
      <c r="G12" s="28"/>
      <c r="H12" s="62" t="s">
        <v>233</v>
      </c>
      <c r="I12" s="62" t="s">
        <v>230</v>
      </c>
      <c r="J12" s="117" t="s">
        <v>229</v>
      </c>
      <c r="K12" s="119"/>
      <c r="L12" s="117" t="s">
        <v>226</v>
      </c>
      <c r="M12" s="118"/>
      <c r="N12" s="28"/>
      <c r="O12" s="28"/>
    </row>
    <row r="13" spans="1:15" s="20" customFormat="1" ht="19" customHeight="1" x14ac:dyDescent="0.25">
      <c r="A13" s="28"/>
      <c r="B13" s="33" t="str" cm="1">
        <f t="array" ref="B13">Tabla1[CARGO1]</f>
        <v>Gerente Comercial</v>
      </c>
      <c r="C13" s="28"/>
      <c r="D13" s="28"/>
      <c r="E13" s="74" t="str" cm="1">
        <f t="array" ref="E13">Tabla1[EMPRESA1]</f>
        <v/>
      </c>
      <c r="F13" s="74"/>
      <c r="G13" s="28"/>
      <c r="H13" s="120">
        <f ca="1">'Plan DB'!Z2</f>
        <v>0</v>
      </c>
      <c r="I13" s="120">
        <f ca="1">'Plan DB'!AB2</f>
        <v>0</v>
      </c>
      <c r="J13" s="130">
        <f ca="1">'Plan DB'!V2</f>
        <v>0</v>
      </c>
      <c r="K13" s="131"/>
      <c r="L13" s="130">
        <f ca="1">'Plan DB'!W2</f>
        <v>0</v>
      </c>
      <c r="M13" s="134"/>
      <c r="N13" s="28"/>
      <c r="O13" s="28"/>
    </row>
    <row r="14" spans="1:15" s="20" customFormat="1" ht="19" customHeight="1" x14ac:dyDescent="0.25">
      <c r="A14" s="28"/>
      <c r="B14" s="33" t="str" cm="1">
        <f t="array" ref="B14">Tabla1[CARGO2]</f>
        <v>Director Comercial</v>
      </c>
      <c r="C14" s="28"/>
      <c r="D14" s="28"/>
      <c r="E14" s="74" t="str" cm="1">
        <f t="array" ref="E14">Tabla1[EMPRESA2]</f>
        <v/>
      </c>
      <c r="F14" s="74"/>
      <c r="G14" s="28"/>
      <c r="H14" s="121"/>
      <c r="I14" s="121"/>
      <c r="J14" s="132"/>
      <c r="K14" s="133"/>
      <c r="L14" s="132"/>
      <c r="M14" s="135"/>
      <c r="N14" s="28"/>
      <c r="O14" s="28"/>
    </row>
    <row r="15" spans="1:15" s="20" customFormat="1" ht="19" x14ac:dyDescent="0.25">
      <c r="A15" s="28"/>
      <c r="B15" s="33" t="str" cm="1">
        <f t="array" ref="B15">Tabla1[CARGO3]</f>
        <v>Subgerente Comercial</v>
      </c>
      <c r="C15" s="28"/>
      <c r="D15" s="28"/>
      <c r="E15" s="74" t="str" cm="1">
        <f t="array" ref="E15">Tabla1[EMPRESA3]</f>
        <v/>
      </c>
      <c r="F15" s="74"/>
      <c r="G15" s="28"/>
      <c r="H15" s="60" t="s">
        <v>234</v>
      </c>
      <c r="I15" s="60" t="s">
        <v>231</v>
      </c>
      <c r="J15" s="136" t="s">
        <v>228</v>
      </c>
      <c r="K15" s="138"/>
      <c r="L15" s="136" t="s">
        <v>227</v>
      </c>
      <c r="M15" s="137"/>
      <c r="N15" s="28"/>
      <c r="O15" s="28"/>
    </row>
    <row r="16" spans="1:15" s="20" customFormat="1" ht="19" customHeight="1" x14ac:dyDescent="0.25">
      <c r="A16" s="28"/>
      <c r="B16" s="33" t="str" cm="1">
        <f t="array" ref="B16">Tabla1[CARGO4]</f>
        <v/>
      </c>
      <c r="C16" s="28"/>
      <c r="D16" s="28"/>
      <c r="E16" s="74" t="str" cm="1">
        <f t="array" ref="E16">Tabla1[EMPRESA4]</f>
        <v/>
      </c>
      <c r="F16" s="74"/>
      <c r="G16" s="28"/>
      <c r="H16" s="120">
        <f ca="1">'Plan DB'!AA2</f>
        <v>0</v>
      </c>
      <c r="I16" s="120">
        <f ca="1">'Plan DB'!AC2</f>
        <v>0</v>
      </c>
      <c r="J16" s="130">
        <f ca="1">'Plan DB'!X2</f>
        <v>0</v>
      </c>
      <c r="K16" s="131"/>
      <c r="L16" s="130">
        <f ca="1">'Plan DB'!Y2</f>
        <v>0</v>
      </c>
      <c r="M16" s="134"/>
      <c r="N16" s="28"/>
      <c r="O16" s="28"/>
    </row>
    <row r="17" spans="1:15" s="20" customFormat="1" ht="19" customHeight="1" x14ac:dyDescent="0.25">
      <c r="A17" s="28"/>
      <c r="B17" s="33" t="str" cm="1">
        <f t="array" ref="B17">Tabla1[CARGO5]</f>
        <v/>
      </c>
      <c r="C17" s="28"/>
      <c r="D17" s="28"/>
      <c r="E17" s="74" t="str" cm="1">
        <f t="array" ref="E17">Tabla1[EMPRESA5]</f>
        <v/>
      </c>
      <c r="F17" s="74"/>
      <c r="G17" s="28"/>
      <c r="H17" s="121"/>
      <c r="I17" s="121"/>
      <c r="J17" s="132"/>
      <c r="K17" s="133"/>
      <c r="L17" s="132"/>
      <c r="M17" s="135"/>
      <c r="N17" s="28"/>
      <c r="O17" s="28"/>
    </row>
    <row r="18" spans="1:15" x14ac:dyDescent="0.2">
      <c r="A18" s="28"/>
      <c r="B18" s="28"/>
      <c r="C18" s="28"/>
      <c r="D18" s="28"/>
      <c r="E18" s="28"/>
      <c r="F18" s="28"/>
      <c r="G18" s="28"/>
      <c r="H18" s="28"/>
      <c r="I18" s="28"/>
      <c r="J18" s="28"/>
      <c r="K18" s="28"/>
      <c r="L18" s="28"/>
      <c r="M18" s="28"/>
      <c r="N18" s="28"/>
      <c r="O18" s="28"/>
    </row>
    <row r="19" spans="1:15" s="19" customFormat="1" x14ac:dyDescent="0.2">
      <c r="A19" s="24"/>
      <c r="B19" s="24"/>
      <c r="C19" s="24"/>
      <c r="D19" s="24"/>
      <c r="E19" s="24"/>
      <c r="F19" s="24"/>
      <c r="G19" s="24"/>
      <c r="H19" s="24"/>
      <c r="I19" s="24"/>
      <c r="J19" s="24"/>
      <c r="K19" s="24"/>
      <c r="L19" s="24"/>
      <c r="M19" s="24"/>
      <c r="N19" s="24"/>
      <c r="O19" s="24"/>
    </row>
    <row r="20" spans="1:15" s="19" customFormat="1" ht="26" x14ac:dyDescent="0.3">
      <c r="A20" s="24"/>
      <c r="B20" s="24"/>
      <c r="C20" s="24"/>
      <c r="D20" s="24"/>
      <c r="E20" s="105" t="s">
        <v>11</v>
      </c>
      <c r="F20" s="105"/>
      <c r="G20" s="105"/>
      <c r="H20" s="105"/>
      <c r="I20" s="105"/>
      <c r="J20" s="105"/>
      <c r="K20" s="24"/>
      <c r="L20" s="24"/>
      <c r="M20" s="24"/>
      <c r="N20" s="24"/>
      <c r="O20" s="24"/>
    </row>
    <row r="21" spans="1:15" s="19" customFormat="1" x14ac:dyDescent="0.2">
      <c r="A21" s="24"/>
      <c r="B21" s="24" t="s">
        <v>12</v>
      </c>
      <c r="C21" s="24"/>
      <c r="D21" s="24"/>
      <c r="E21" s="24"/>
      <c r="F21" s="24"/>
      <c r="G21" s="24"/>
      <c r="H21" s="24"/>
      <c r="I21" s="24"/>
      <c r="J21" s="24"/>
      <c r="K21" s="34"/>
      <c r="L21" s="24"/>
      <c r="M21" s="24"/>
      <c r="N21" s="34" t="s">
        <v>13</v>
      </c>
      <c r="O21" s="24"/>
    </row>
    <row r="22" spans="1:15" s="19" customFormat="1" ht="32" customHeight="1" x14ac:dyDescent="0.2">
      <c r="A22" s="24"/>
      <c r="B22" s="106" t="str">
        <f>'Plan DB'!R2</f>
        <v>Compromiso y orientación al logro"", Confiable, comprometido, resiliente""</v>
      </c>
      <c r="C22" s="107"/>
      <c r="D22" s="107"/>
      <c r="E22" s="107"/>
      <c r="F22" s="107"/>
      <c r="G22" s="108"/>
      <c r="H22" s="115" t="str">
        <f>'Plan DB'!T2</f>
        <v>No hay</v>
      </c>
      <c r="I22" s="115"/>
      <c r="J22" s="115"/>
      <c r="K22" s="115"/>
      <c r="L22" s="115"/>
      <c r="M22" s="115"/>
      <c r="N22" s="115"/>
      <c r="O22" s="24"/>
    </row>
    <row r="23" spans="1:15" s="19" customFormat="1" ht="32" customHeight="1" x14ac:dyDescent="0.2">
      <c r="A23" s="24"/>
      <c r="B23" s="109"/>
      <c r="C23" s="110"/>
      <c r="D23" s="110"/>
      <c r="E23" s="110"/>
      <c r="F23" s="110"/>
      <c r="G23" s="111"/>
      <c r="H23" s="115"/>
      <c r="I23" s="115"/>
      <c r="J23" s="115"/>
      <c r="K23" s="115"/>
      <c r="L23" s="115"/>
      <c r="M23" s="115"/>
      <c r="N23" s="115"/>
      <c r="O23" s="24"/>
    </row>
    <row r="24" spans="1:15" s="19" customFormat="1" ht="32" customHeight="1" x14ac:dyDescent="0.2">
      <c r="A24" s="24"/>
      <c r="B24" s="109"/>
      <c r="C24" s="110"/>
      <c r="D24" s="110"/>
      <c r="E24" s="110"/>
      <c r="F24" s="110"/>
      <c r="G24" s="111"/>
      <c r="H24" s="115"/>
      <c r="I24" s="115"/>
      <c r="J24" s="115"/>
      <c r="K24" s="115"/>
      <c r="L24" s="115"/>
      <c r="M24" s="115"/>
      <c r="N24" s="115"/>
      <c r="O24" s="24"/>
    </row>
    <row r="25" spans="1:15" s="19" customFormat="1" ht="32" customHeight="1" x14ac:dyDescent="0.2">
      <c r="A25" s="24"/>
      <c r="B25" s="112"/>
      <c r="C25" s="113"/>
      <c r="D25" s="113"/>
      <c r="E25" s="113"/>
      <c r="F25" s="113"/>
      <c r="G25" s="114"/>
      <c r="H25" s="115"/>
      <c r="I25" s="115"/>
      <c r="J25" s="115"/>
      <c r="K25" s="115"/>
      <c r="L25" s="115"/>
      <c r="M25" s="115"/>
      <c r="N25" s="115"/>
      <c r="O25" s="24"/>
    </row>
    <row r="26" spans="1:15" s="19" customFormat="1" ht="32" customHeight="1" x14ac:dyDescent="0.2">
      <c r="A26" s="24"/>
      <c r="B26" s="106" t="str">
        <f>'Plan DB'!S2</f>
        <v>Tiene Inteligencia interpersonal y la pone a disposición de sus relaciones de trabajo""</v>
      </c>
      <c r="C26" s="107"/>
      <c r="D26" s="107"/>
      <c r="E26" s="107"/>
      <c r="F26" s="107"/>
      <c r="G26" s="108"/>
      <c r="H26" s="115" t="str">
        <f>'Plan DB'!U2</f>
        <v>No hay</v>
      </c>
      <c r="I26" s="115"/>
      <c r="J26" s="115"/>
      <c r="K26" s="115"/>
      <c r="L26" s="115"/>
      <c r="M26" s="115"/>
      <c r="N26" s="115"/>
      <c r="O26" s="24"/>
    </row>
    <row r="27" spans="1:15" s="19" customFormat="1" ht="32" customHeight="1" x14ac:dyDescent="0.2">
      <c r="A27" s="24"/>
      <c r="B27" s="109"/>
      <c r="C27" s="110"/>
      <c r="D27" s="110"/>
      <c r="E27" s="110"/>
      <c r="F27" s="110"/>
      <c r="G27" s="111"/>
      <c r="H27" s="115"/>
      <c r="I27" s="115"/>
      <c r="J27" s="115"/>
      <c r="K27" s="115"/>
      <c r="L27" s="115"/>
      <c r="M27" s="115"/>
      <c r="N27" s="115"/>
      <c r="O27" s="24"/>
    </row>
    <row r="28" spans="1:15" s="19" customFormat="1" ht="32" customHeight="1" x14ac:dyDescent="0.2">
      <c r="A28" s="24"/>
      <c r="B28" s="109"/>
      <c r="C28" s="110"/>
      <c r="D28" s="110"/>
      <c r="E28" s="110"/>
      <c r="F28" s="110"/>
      <c r="G28" s="111"/>
      <c r="H28" s="115"/>
      <c r="I28" s="115"/>
      <c r="J28" s="115"/>
      <c r="K28" s="115"/>
      <c r="L28" s="115"/>
      <c r="M28" s="115"/>
      <c r="N28" s="115"/>
      <c r="O28" s="24"/>
    </row>
    <row r="29" spans="1:15" s="19" customFormat="1" ht="32" customHeight="1" x14ac:dyDescent="0.2">
      <c r="A29" s="24"/>
      <c r="B29" s="112"/>
      <c r="C29" s="113"/>
      <c r="D29" s="113"/>
      <c r="E29" s="113"/>
      <c r="F29" s="113"/>
      <c r="G29" s="114"/>
      <c r="H29" s="115"/>
      <c r="I29" s="115"/>
      <c r="J29" s="115"/>
      <c r="K29" s="115"/>
      <c r="L29" s="115"/>
      <c r="M29" s="115"/>
      <c r="N29" s="115"/>
      <c r="O29" s="24"/>
    </row>
    <row r="30" spans="1:15" s="19" customFormat="1" x14ac:dyDescent="0.2">
      <c r="A30" s="24"/>
      <c r="B30" s="24" t="s">
        <v>14</v>
      </c>
      <c r="C30" s="24"/>
      <c r="D30" s="24"/>
      <c r="E30" s="24"/>
      <c r="F30" s="24"/>
      <c r="G30" s="24"/>
      <c r="H30" s="24"/>
      <c r="I30" s="24"/>
      <c r="J30" s="24"/>
      <c r="K30" s="34"/>
      <c r="L30" s="24"/>
      <c r="M30" s="24"/>
      <c r="N30" s="34" t="s">
        <v>15</v>
      </c>
      <c r="O30" s="24"/>
    </row>
    <row r="31" spans="1:15" s="19" customFormat="1" x14ac:dyDescent="0.2">
      <c r="A31" s="24"/>
      <c r="B31" s="24"/>
      <c r="C31" s="24"/>
      <c r="D31" s="24"/>
      <c r="E31" s="24"/>
      <c r="F31" s="24"/>
      <c r="G31" s="24"/>
      <c r="H31" s="24"/>
      <c r="I31" s="24"/>
      <c r="J31" s="24"/>
      <c r="K31" s="34"/>
      <c r="L31" s="24"/>
      <c r="M31" s="24"/>
      <c r="N31" s="34"/>
      <c r="O31" s="24"/>
    </row>
    <row r="32" spans="1:15" s="19" customFormat="1" x14ac:dyDescent="0.2">
      <c r="A32" s="28"/>
      <c r="B32" s="28"/>
      <c r="C32" s="28"/>
      <c r="D32" s="28"/>
      <c r="E32" s="28"/>
      <c r="F32" s="28"/>
      <c r="G32" s="28"/>
      <c r="H32" s="28"/>
      <c r="I32" s="28"/>
      <c r="J32" s="28"/>
      <c r="K32" s="35"/>
      <c r="L32" s="28"/>
      <c r="M32" s="28"/>
      <c r="N32" s="35"/>
      <c r="O32" s="28"/>
    </row>
    <row r="33" spans="1:15" s="17" customFormat="1" ht="26" x14ac:dyDescent="0.3">
      <c r="A33" s="28"/>
      <c r="B33" s="29" t="s">
        <v>208</v>
      </c>
      <c r="C33" s="28"/>
      <c r="D33" s="28"/>
      <c r="E33" s="28"/>
      <c r="F33" s="28"/>
      <c r="G33" s="28"/>
      <c r="H33" s="28"/>
      <c r="I33" s="28"/>
      <c r="J33" s="28"/>
      <c r="K33" s="35"/>
      <c r="L33" s="28"/>
      <c r="M33" s="28"/>
      <c r="N33" s="35"/>
      <c r="O33" s="28"/>
    </row>
    <row r="34" spans="1:15" s="17" customFormat="1" ht="12" customHeight="1" x14ac:dyDescent="0.2">
      <c r="A34" s="28"/>
      <c r="B34" s="36"/>
      <c r="C34" s="36"/>
      <c r="D34" s="36"/>
      <c r="E34" s="36"/>
      <c r="F34" s="36"/>
      <c r="G34" s="36"/>
      <c r="H34" s="36"/>
      <c r="I34" s="36"/>
      <c r="J34" s="36"/>
      <c r="K34" s="36"/>
      <c r="L34" s="36"/>
      <c r="M34" s="36"/>
      <c r="N34" s="28"/>
      <c r="O34" s="28"/>
    </row>
    <row r="35" spans="1:15" ht="27" customHeight="1" x14ac:dyDescent="0.3">
      <c r="A35" s="37"/>
      <c r="B35" s="38"/>
      <c r="C35" s="38"/>
      <c r="D35" s="38"/>
      <c r="E35" s="116" t="s">
        <v>207</v>
      </c>
      <c r="F35" s="116"/>
      <c r="G35" s="116"/>
      <c r="H35" s="116"/>
      <c r="I35" s="116"/>
      <c r="J35" s="116"/>
      <c r="K35" s="38"/>
      <c r="L35" s="38"/>
      <c r="M35" s="38"/>
      <c r="N35" s="37"/>
      <c r="O35" s="37"/>
    </row>
    <row r="36" spans="1:15" ht="16" customHeight="1" x14ac:dyDescent="0.2">
      <c r="A36" s="37"/>
      <c r="B36" s="38"/>
      <c r="C36" s="38"/>
      <c r="D36" s="38"/>
      <c r="E36" s="38"/>
      <c r="F36" s="38"/>
      <c r="G36" s="38"/>
      <c r="H36" s="38"/>
      <c r="I36" s="38"/>
      <c r="J36" s="38"/>
      <c r="K36" s="38"/>
      <c r="L36" s="38"/>
      <c r="M36" s="38"/>
      <c r="N36" s="37"/>
      <c r="O36" s="37"/>
    </row>
    <row r="37" spans="1:15" ht="27" customHeight="1" x14ac:dyDescent="0.2">
      <c r="A37" s="37"/>
      <c r="B37" s="139" t="s">
        <v>204</v>
      </c>
      <c r="C37" s="139"/>
      <c r="D37" s="139"/>
      <c r="E37" s="139"/>
      <c r="F37" s="139"/>
      <c r="G37" s="140" t="s">
        <v>210</v>
      </c>
      <c r="H37" s="141"/>
      <c r="I37" s="141"/>
      <c r="J37" s="141"/>
      <c r="K37" s="141"/>
      <c r="L37" s="141"/>
      <c r="M37" s="142"/>
      <c r="N37" s="37"/>
      <c r="O37" s="37"/>
    </row>
    <row r="38" spans="1:15" ht="27" customHeight="1" x14ac:dyDescent="0.2">
      <c r="A38" s="37"/>
      <c r="B38" s="139"/>
      <c r="C38" s="139"/>
      <c r="D38" s="139"/>
      <c r="E38" s="139"/>
      <c r="F38" s="139"/>
      <c r="G38" s="143"/>
      <c r="H38" s="144"/>
      <c r="I38" s="144"/>
      <c r="J38" s="144"/>
      <c r="K38" s="144"/>
      <c r="L38" s="144"/>
      <c r="M38" s="145"/>
      <c r="N38" s="37"/>
      <c r="O38" s="37"/>
    </row>
    <row r="39" spans="1:15" ht="27" customHeight="1" x14ac:dyDescent="0.2">
      <c r="A39" s="37"/>
      <c r="B39" s="139" t="s">
        <v>205</v>
      </c>
      <c r="C39" s="139"/>
      <c r="D39" s="139"/>
      <c r="E39" s="139"/>
      <c r="F39" s="139"/>
      <c r="G39" s="140" t="s">
        <v>210</v>
      </c>
      <c r="H39" s="141"/>
      <c r="I39" s="141"/>
      <c r="J39" s="141"/>
      <c r="K39" s="141"/>
      <c r="L39" s="141"/>
      <c r="M39" s="142"/>
      <c r="N39" s="37"/>
      <c r="O39" s="37"/>
    </row>
    <row r="40" spans="1:15" ht="27" customHeight="1" x14ac:dyDescent="0.2">
      <c r="A40" s="37"/>
      <c r="B40" s="139"/>
      <c r="C40" s="139"/>
      <c r="D40" s="139"/>
      <c r="E40" s="139"/>
      <c r="F40" s="139"/>
      <c r="G40" s="143"/>
      <c r="H40" s="144"/>
      <c r="I40" s="144"/>
      <c r="J40" s="144"/>
      <c r="K40" s="144"/>
      <c r="L40" s="144"/>
      <c r="M40" s="145"/>
      <c r="N40" s="37"/>
      <c r="O40" s="37"/>
    </row>
    <row r="41" spans="1:15" ht="27" customHeight="1" x14ac:dyDescent="0.2">
      <c r="A41" s="37"/>
      <c r="B41" s="139" t="s">
        <v>206</v>
      </c>
      <c r="C41" s="139"/>
      <c r="D41" s="139"/>
      <c r="E41" s="139"/>
      <c r="F41" s="139"/>
      <c r="G41" s="140" t="s">
        <v>210</v>
      </c>
      <c r="H41" s="141"/>
      <c r="I41" s="141"/>
      <c r="J41" s="141"/>
      <c r="K41" s="141"/>
      <c r="L41" s="141"/>
      <c r="M41" s="142"/>
      <c r="N41" s="37"/>
      <c r="O41" s="37"/>
    </row>
    <row r="42" spans="1:15" ht="27" customHeight="1" x14ac:dyDescent="0.2">
      <c r="A42" s="37"/>
      <c r="B42" s="139"/>
      <c r="C42" s="139"/>
      <c r="D42" s="139"/>
      <c r="E42" s="139"/>
      <c r="F42" s="139"/>
      <c r="G42" s="143"/>
      <c r="H42" s="144"/>
      <c r="I42" s="144"/>
      <c r="J42" s="144"/>
      <c r="K42" s="144"/>
      <c r="L42" s="144"/>
      <c r="M42" s="145"/>
      <c r="N42" s="37"/>
      <c r="O42" s="37"/>
    </row>
    <row r="43" spans="1:15" ht="17" customHeight="1" x14ac:dyDescent="0.2">
      <c r="A43" s="37"/>
      <c r="B43" s="37"/>
      <c r="C43" s="37"/>
      <c r="D43" s="37"/>
      <c r="E43" s="37"/>
      <c r="F43" s="37"/>
      <c r="G43" s="37"/>
      <c r="H43" s="39"/>
      <c r="I43" s="37"/>
      <c r="J43" s="39"/>
      <c r="K43" s="37"/>
      <c r="L43" s="37"/>
      <c r="M43" s="37"/>
      <c r="N43" s="37"/>
      <c r="O43" s="37"/>
    </row>
    <row r="44" spans="1:15" s="21" customFormat="1" ht="26" customHeight="1" x14ac:dyDescent="0.3">
      <c r="A44" s="28"/>
      <c r="B44" s="28"/>
      <c r="C44" s="28"/>
      <c r="D44" s="28"/>
      <c r="E44" s="91" t="s">
        <v>4</v>
      </c>
      <c r="F44" s="91"/>
      <c r="G44" s="91"/>
      <c r="H44" s="91"/>
      <c r="I44" s="91"/>
      <c r="J44" s="91"/>
      <c r="K44" s="28"/>
      <c r="L44" s="28"/>
      <c r="M44" s="28"/>
      <c r="N44" s="28"/>
      <c r="O44" s="28"/>
    </row>
    <row r="45" spans="1:15" s="21" customFormat="1" x14ac:dyDescent="0.2">
      <c r="A45" s="28"/>
      <c r="B45" s="28"/>
      <c r="C45" s="28"/>
      <c r="D45" s="40"/>
      <c r="E45" s="40"/>
      <c r="F45" s="40"/>
      <c r="G45" s="40"/>
      <c r="H45" s="28"/>
      <c r="I45" s="28"/>
      <c r="J45" s="28"/>
      <c r="K45" s="28"/>
      <c r="L45" s="28"/>
      <c r="M45" s="28"/>
      <c r="N45" s="28"/>
      <c r="O45" s="28"/>
    </row>
    <row r="46" spans="1:15" s="21" customFormat="1" ht="27" customHeight="1" x14ac:dyDescent="0.2">
      <c r="A46" s="28"/>
      <c r="B46" s="89" t="s">
        <v>5</v>
      </c>
      <c r="C46" s="89"/>
      <c r="D46" s="89"/>
      <c r="E46" s="89"/>
      <c r="F46" s="89"/>
      <c r="G46" s="129" t="s">
        <v>238</v>
      </c>
      <c r="H46" s="129"/>
      <c r="I46" s="129"/>
      <c r="J46" s="129"/>
      <c r="K46" s="129"/>
      <c r="L46" s="129"/>
      <c r="M46" s="129"/>
      <c r="N46" s="28"/>
      <c r="O46" s="28"/>
    </row>
    <row r="47" spans="1:15" s="21" customFormat="1" ht="27" customHeight="1" x14ac:dyDescent="0.2">
      <c r="A47" s="28"/>
      <c r="B47" s="89"/>
      <c r="C47" s="89"/>
      <c r="D47" s="89"/>
      <c r="E47" s="89"/>
      <c r="F47" s="89"/>
      <c r="G47" s="129"/>
      <c r="H47" s="129"/>
      <c r="I47" s="129"/>
      <c r="J47" s="129"/>
      <c r="K47" s="129"/>
      <c r="L47" s="129"/>
      <c r="M47" s="129"/>
      <c r="N47" s="28"/>
      <c r="O47" s="28"/>
    </row>
    <row r="48" spans="1:15" s="21" customFormat="1" ht="27" customHeight="1" x14ac:dyDescent="0.2">
      <c r="A48" s="28"/>
      <c r="B48" s="89" t="s">
        <v>6</v>
      </c>
      <c r="C48" s="89"/>
      <c r="D48" s="89"/>
      <c r="E48" s="89"/>
      <c r="F48" s="89"/>
      <c r="G48" s="129" t="s">
        <v>238</v>
      </c>
      <c r="H48" s="129"/>
      <c r="I48" s="129"/>
      <c r="J48" s="129"/>
      <c r="K48" s="129"/>
      <c r="L48" s="129"/>
      <c r="M48" s="129"/>
      <c r="N48" s="28"/>
      <c r="O48" s="28"/>
    </row>
    <row r="49" spans="1:15" s="21" customFormat="1" ht="27" customHeight="1" x14ac:dyDescent="0.2">
      <c r="A49" s="28"/>
      <c r="B49" s="89"/>
      <c r="C49" s="89"/>
      <c r="D49" s="89"/>
      <c r="E49" s="89"/>
      <c r="F49" s="89"/>
      <c r="G49" s="129"/>
      <c r="H49" s="129"/>
      <c r="I49" s="129"/>
      <c r="J49" s="129"/>
      <c r="K49" s="129"/>
      <c r="L49" s="129"/>
      <c r="M49" s="129"/>
      <c r="N49" s="28"/>
      <c r="O49" s="28"/>
    </row>
    <row r="50" spans="1:15" s="21" customFormat="1" ht="16" customHeight="1" x14ac:dyDescent="0.2">
      <c r="A50" s="28"/>
      <c r="B50" s="36"/>
      <c r="C50" s="36"/>
      <c r="D50" s="36"/>
      <c r="E50" s="36"/>
      <c r="F50" s="36"/>
      <c r="G50" s="41"/>
      <c r="H50" s="41"/>
      <c r="I50" s="41"/>
      <c r="J50" s="41"/>
      <c r="K50" s="41"/>
      <c r="L50" s="41"/>
      <c r="M50" s="41"/>
      <c r="N50" s="28"/>
      <c r="O50" s="28"/>
    </row>
    <row r="51" spans="1:15" s="21" customFormat="1" ht="26" x14ac:dyDescent="0.3">
      <c r="A51" s="28"/>
      <c r="B51" s="28"/>
      <c r="C51" s="28"/>
      <c r="D51" s="28"/>
      <c r="E51" s="91" t="s">
        <v>23</v>
      </c>
      <c r="F51" s="91"/>
      <c r="G51" s="91"/>
      <c r="H51" s="91"/>
      <c r="I51" s="91"/>
      <c r="J51" s="91"/>
      <c r="K51" s="28"/>
      <c r="L51" s="28"/>
      <c r="M51" s="28"/>
      <c r="N51" s="28"/>
      <c r="O51" s="28"/>
    </row>
    <row r="52" spans="1:15" s="21" customFormat="1" ht="16" customHeight="1" x14ac:dyDescent="0.2">
      <c r="A52" s="28"/>
      <c r="B52" s="36"/>
      <c r="C52" s="36"/>
      <c r="D52" s="36"/>
      <c r="E52" s="36"/>
      <c r="F52" s="36"/>
      <c r="G52" s="41"/>
      <c r="H52" s="41"/>
      <c r="I52" s="41"/>
      <c r="J52" s="41"/>
      <c r="K52" s="41"/>
      <c r="L52" s="41"/>
      <c r="M52" s="41"/>
      <c r="N52" s="28"/>
      <c r="O52" s="28"/>
    </row>
    <row r="53" spans="1:15" s="21" customFormat="1" ht="27" customHeight="1" x14ac:dyDescent="0.2">
      <c r="A53" s="28"/>
      <c r="B53" s="89" t="s">
        <v>20</v>
      </c>
      <c r="C53" s="89"/>
      <c r="D53" s="89"/>
      <c r="E53" s="89"/>
      <c r="F53" s="89"/>
      <c r="G53" s="129" t="s">
        <v>238</v>
      </c>
      <c r="H53" s="129"/>
      <c r="I53" s="129"/>
      <c r="J53" s="129"/>
      <c r="K53" s="129"/>
      <c r="L53" s="129"/>
      <c r="M53" s="129"/>
      <c r="N53" s="28"/>
      <c r="O53" s="28"/>
    </row>
    <row r="54" spans="1:15" s="21" customFormat="1" ht="27" customHeight="1" x14ac:dyDescent="0.2">
      <c r="A54" s="28"/>
      <c r="B54" s="89"/>
      <c r="C54" s="89"/>
      <c r="D54" s="89"/>
      <c r="E54" s="89"/>
      <c r="F54" s="89"/>
      <c r="G54" s="129"/>
      <c r="H54" s="129"/>
      <c r="I54" s="129"/>
      <c r="J54" s="129"/>
      <c r="K54" s="129"/>
      <c r="L54" s="129"/>
      <c r="M54" s="129"/>
      <c r="N54" s="28"/>
      <c r="O54" s="28"/>
    </row>
    <row r="55" spans="1:15" s="21" customFormat="1" ht="16" customHeight="1" x14ac:dyDescent="0.2">
      <c r="A55" s="28"/>
      <c r="B55" s="36"/>
      <c r="C55" s="36"/>
      <c r="D55" s="36"/>
      <c r="E55" s="36"/>
      <c r="F55" s="36"/>
      <c r="G55" s="36"/>
      <c r="H55" s="36"/>
      <c r="I55" s="36"/>
      <c r="J55" s="36"/>
      <c r="K55" s="36"/>
      <c r="L55" s="36"/>
      <c r="M55" s="36"/>
      <c r="N55" s="28"/>
      <c r="O55" s="28"/>
    </row>
    <row r="56" spans="1:15" s="17" customFormat="1" x14ac:dyDescent="0.2">
      <c r="A56" s="42"/>
      <c r="B56" s="42"/>
      <c r="C56" s="42"/>
      <c r="D56" s="42"/>
      <c r="E56" s="42"/>
      <c r="F56" s="42"/>
      <c r="G56" s="42"/>
      <c r="H56" s="42"/>
      <c r="I56" s="42"/>
      <c r="J56" s="42"/>
      <c r="K56" s="42"/>
      <c r="L56" s="42"/>
      <c r="M56" s="42"/>
      <c r="N56" s="42"/>
      <c r="O56" s="42"/>
    </row>
    <row r="57" spans="1:15" s="17" customFormat="1" ht="26" x14ac:dyDescent="0.3">
      <c r="A57" s="42"/>
      <c r="B57" s="103" t="s">
        <v>16</v>
      </c>
      <c r="C57" s="103"/>
      <c r="D57" s="103"/>
      <c r="E57" s="103"/>
      <c r="F57" s="43"/>
      <c r="G57" s="42"/>
      <c r="H57" s="42"/>
      <c r="I57" s="42"/>
      <c r="J57" s="42"/>
      <c r="K57" s="42"/>
      <c r="L57" s="42"/>
      <c r="M57" s="42"/>
      <c r="N57" s="42"/>
      <c r="O57" s="42"/>
    </row>
    <row r="58" spans="1:15" s="17" customFormat="1" x14ac:dyDescent="0.2">
      <c r="A58" s="42"/>
      <c r="B58" s="42"/>
      <c r="C58" s="42"/>
      <c r="D58" s="42"/>
      <c r="E58" s="42"/>
      <c r="F58" s="42"/>
      <c r="G58" s="42"/>
      <c r="H58" s="42"/>
      <c r="I58" s="42"/>
      <c r="J58" s="42"/>
      <c r="K58" s="42"/>
      <c r="L58" s="42"/>
      <c r="M58" s="42"/>
      <c r="N58" s="42"/>
      <c r="O58" s="42"/>
    </row>
    <row r="59" spans="1:15" s="18" customFormat="1" ht="21" x14ac:dyDescent="0.25">
      <c r="A59" s="44"/>
      <c r="B59" s="75" t="s">
        <v>17</v>
      </c>
      <c r="C59" s="87"/>
      <c r="D59" s="88"/>
      <c r="E59" s="75" t="s">
        <v>18</v>
      </c>
      <c r="F59" s="76"/>
      <c r="G59" s="76"/>
      <c r="H59" s="77"/>
      <c r="I59" s="51" t="s">
        <v>240</v>
      </c>
      <c r="J59" s="100" t="s">
        <v>19</v>
      </c>
      <c r="K59" s="100"/>
      <c r="L59" s="100"/>
      <c r="M59" s="100"/>
      <c r="N59" s="100"/>
      <c r="O59" s="44"/>
    </row>
    <row r="60" spans="1:15" s="17" customFormat="1" ht="40" customHeight="1" x14ac:dyDescent="0.2">
      <c r="A60" s="42"/>
      <c r="B60" s="78" t="s">
        <v>213</v>
      </c>
      <c r="C60" s="79"/>
      <c r="D60" s="80"/>
      <c r="E60" s="65"/>
      <c r="F60" s="71" t="str">
        <f>IF(OR(ISERROR(VLOOKUP(B60,'Acciones DB'!$B$2:$G$28,2,FALSE)),VLOOKUP(B60,'Acciones DB'!$B$2:$G$28,2,FALSE)=0),"",VLOOKUP(B60,'Acciones DB'!$B$2:$G$28,2,FALSE))</f>
        <v/>
      </c>
      <c r="G60" s="72"/>
      <c r="H60" s="73"/>
      <c r="I60" s="64"/>
      <c r="J60" s="95"/>
      <c r="K60" s="92"/>
      <c r="L60" s="92"/>
      <c r="M60" s="92"/>
      <c r="N60" s="92"/>
      <c r="O60" s="42"/>
    </row>
    <row r="61" spans="1:15" s="17" customFormat="1" ht="40" customHeight="1" x14ac:dyDescent="0.2">
      <c r="A61" s="42"/>
      <c r="B61" s="81"/>
      <c r="C61" s="82"/>
      <c r="D61" s="83"/>
      <c r="E61" s="65"/>
      <c r="F61" s="71" t="str">
        <f>IF(OR(ISERROR(VLOOKUP(B60,'Acciones DB'!$B$2:$G$28,3,FALSE)),VLOOKUP(B60,'Acciones DB'!$B$2:$G$28,3,FALSE)=0),"",VLOOKUP(B60,'Acciones DB'!$B$2:$G$28,3,FALSE))</f>
        <v/>
      </c>
      <c r="G61" s="72"/>
      <c r="H61" s="73"/>
      <c r="I61" s="64"/>
      <c r="J61" s="96"/>
      <c r="K61" s="93"/>
      <c r="L61" s="93"/>
      <c r="M61" s="93"/>
      <c r="N61" s="93"/>
      <c r="O61" s="42"/>
    </row>
    <row r="62" spans="1:15" s="17" customFormat="1" ht="40" customHeight="1" x14ac:dyDescent="0.2">
      <c r="A62" s="42"/>
      <c r="B62" s="81"/>
      <c r="C62" s="82"/>
      <c r="D62" s="83"/>
      <c r="E62" s="65"/>
      <c r="F62" s="101" t="str">
        <f>IF(OR(ISERROR(VLOOKUP(B60,'Acciones DB'!$B$2:$G$28,4,FALSE)),VLOOKUP(B60,'Acciones DB'!$B$2:$G$28,4,FALSE)=0),"",VLOOKUP(B60,'Acciones DB'!$B$2:$G$28,4,FALSE))</f>
        <v/>
      </c>
      <c r="G62" s="102"/>
      <c r="H62" s="102"/>
      <c r="I62" s="64"/>
      <c r="J62" s="96"/>
      <c r="K62" s="93"/>
      <c r="L62" s="93"/>
      <c r="M62" s="93"/>
      <c r="N62" s="93"/>
      <c r="O62" s="42"/>
    </row>
    <row r="63" spans="1:15" s="17" customFormat="1" ht="40" customHeight="1" x14ac:dyDescent="0.2">
      <c r="A63" s="42"/>
      <c r="B63" s="81"/>
      <c r="C63" s="82"/>
      <c r="D63" s="83"/>
      <c r="E63" s="65"/>
      <c r="F63" s="71" t="str">
        <f>IF(OR(ISERROR(VLOOKUP(B60,'Acciones DB'!$B$2:$G$28,5,FALSE)),VLOOKUP(B60,'Acciones DB'!$B$2:$G$28,5,FALSE)=0),"",VLOOKUP(B60,'Acciones DB'!$B$2:$G$28,5,FALSE))</f>
        <v/>
      </c>
      <c r="G63" s="72"/>
      <c r="H63" s="73"/>
      <c r="I63" s="52"/>
      <c r="J63" s="96"/>
      <c r="K63" s="93"/>
      <c r="L63" s="93"/>
      <c r="M63" s="93"/>
      <c r="N63" s="93"/>
      <c r="O63" s="42"/>
    </row>
    <row r="64" spans="1:15" s="17" customFormat="1" ht="40" customHeight="1" x14ac:dyDescent="0.2">
      <c r="A64" s="42"/>
      <c r="B64" s="84"/>
      <c r="C64" s="85"/>
      <c r="D64" s="86"/>
      <c r="E64" s="65"/>
      <c r="F64" s="71" t="str">
        <f>IF(OR(ISERROR(VLOOKUP(B60,'Acciones DB'!$B$2:$G$28,6,FALSE)),VLOOKUP(B60,'Acciones DB'!$B$2:$G$28,6,FALSE)=0),"",VLOOKUP(B60,'Acciones DB'!$B$2:$G$28,6,FALSE))</f>
        <v/>
      </c>
      <c r="G64" s="72"/>
      <c r="H64" s="73"/>
      <c r="I64" s="52"/>
      <c r="J64" s="97"/>
      <c r="K64" s="94"/>
      <c r="L64" s="94"/>
      <c r="M64" s="94"/>
      <c r="N64" s="94"/>
      <c r="O64" s="42"/>
    </row>
    <row r="65" spans="1:15" s="17" customFormat="1" ht="40" customHeight="1" x14ac:dyDescent="0.2">
      <c r="A65" s="42"/>
      <c r="B65" s="78" t="s">
        <v>213</v>
      </c>
      <c r="C65" s="79"/>
      <c r="D65" s="80"/>
      <c r="E65" s="65"/>
      <c r="F65" s="71" t="str">
        <f>IF(OR(ISERROR(VLOOKUP(B65,'Acciones DB'!$B$2:$G$28,2,FALSE)),VLOOKUP(B65,'Acciones DB'!$B$2:$G$28,2,FALSE)=0),"",VLOOKUP(B65,'Acciones DB'!$B$2:$G$28,2,FALSE))</f>
        <v/>
      </c>
      <c r="G65" s="72"/>
      <c r="H65" s="73"/>
      <c r="I65" s="52"/>
      <c r="J65" s="95"/>
      <c r="K65" s="92"/>
      <c r="L65" s="92"/>
      <c r="M65" s="92"/>
      <c r="N65" s="92"/>
      <c r="O65" s="42"/>
    </row>
    <row r="66" spans="1:15" s="17" customFormat="1" ht="40" customHeight="1" x14ac:dyDescent="0.2">
      <c r="A66" s="42"/>
      <c r="B66" s="81"/>
      <c r="C66" s="82"/>
      <c r="D66" s="83"/>
      <c r="E66" s="65"/>
      <c r="F66" s="71" t="str">
        <f>IF(OR(ISERROR(VLOOKUP(B65,'Acciones DB'!$B$2:$G$28,3,FALSE)),VLOOKUP(B65,'Acciones DB'!$B$2:$G$28,3,FALSE)=0),"",VLOOKUP(B65,'Acciones DB'!$B$2:$G$28,3,FALSE))</f>
        <v/>
      </c>
      <c r="G66" s="72"/>
      <c r="H66" s="73"/>
      <c r="I66" s="52"/>
      <c r="J66" s="96"/>
      <c r="K66" s="93"/>
      <c r="L66" s="93"/>
      <c r="M66" s="93"/>
      <c r="N66" s="93"/>
      <c r="O66" s="42"/>
    </row>
    <row r="67" spans="1:15" s="17" customFormat="1" ht="40" customHeight="1" x14ac:dyDescent="0.2">
      <c r="A67" s="42"/>
      <c r="B67" s="81"/>
      <c r="C67" s="82"/>
      <c r="D67" s="83"/>
      <c r="E67" s="65"/>
      <c r="F67" s="71" t="str">
        <f>IF(OR(ISERROR(VLOOKUP(B65,'Acciones DB'!$B$2:$G$28,4,FALSE)),VLOOKUP(B65,'Acciones DB'!$B$2:$G$28,4,FALSE)=0),"",VLOOKUP(B65,'Acciones DB'!$B$2:$G$28,4,FALSE))</f>
        <v/>
      </c>
      <c r="G67" s="72"/>
      <c r="H67" s="73"/>
      <c r="I67" s="52"/>
      <c r="J67" s="96"/>
      <c r="K67" s="93"/>
      <c r="L67" s="93"/>
      <c r="M67" s="93"/>
      <c r="N67" s="93"/>
      <c r="O67" s="42"/>
    </row>
    <row r="68" spans="1:15" s="17" customFormat="1" ht="40" customHeight="1" x14ac:dyDescent="0.2">
      <c r="A68" s="42"/>
      <c r="B68" s="81"/>
      <c r="C68" s="82"/>
      <c r="D68" s="83"/>
      <c r="E68" s="65"/>
      <c r="F68" s="71" t="str">
        <f>IF(OR(ISERROR(VLOOKUP(B65,'Acciones DB'!$B$2:$G$28,5,FALSE)),VLOOKUP(B65,'Acciones DB'!$B$2:$G$28,5,FALSE)=0),"",VLOOKUP(B65,'Acciones DB'!$B$2:$G$28,5,FALSE))</f>
        <v/>
      </c>
      <c r="G68" s="72"/>
      <c r="H68" s="73"/>
      <c r="I68" s="52"/>
      <c r="J68" s="96"/>
      <c r="K68" s="93"/>
      <c r="L68" s="93"/>
      <c r="M68" s="93"/>
      <c r="N68" s="93"/>
      <c r="O68" s="42"/>
    </row>
    <row r="69" spans="1:15" s="17" customFormat="1" ht="40" customHeight="1" x14ac:dyDescent="0.2">
      <c r="A69" s="42"/>
      <c r="B69" s="84"/>
      <c r="C69" s="85"/>
      <c r="D69" s="86"/>
      <c r="E69" s="65"/>
      <c r="F69" s="71" t="str">
        <f>IF(OR(ISERROR(VLOOKUP(B65,'Acciones DB'!$B$2:$G$28,6,FALSE)),VLOOKUP(B65,'Acciones DB'!$B$2:$G$28,6,FALSE)=0),"",VLOOKUP(B65,'Acciones DB'!$B$2:$G$28,6,FALSE))</f>
        <v/>
      </c>
      <c r="G69" s="72"/>
      <c r="H69" s="73"/>
      <c r="I69" s="52"/>
      <c r="J69" s="97"/>
      <c r="K69" s="94"/>
      <c r="L69" s="94"/>
      <c r="M69" s="94"/>
      <c r="N69" s="94"/>
      <c r="O69" s="42"/>
    </row>
    <row r="70" spans="1:15" s="17" customFormat="1" ht="40" customHeight="1" x14ac:dyDescent="0.2">
      <c r="A70" s="42"/>
      <c r="B70" s="78" t="s">
        <v>213</v>
      </c>
      <c r="C70" s="79"/>
      <c r="D70" s="80"/>
      <c r="E70" s="65"/>
      <c r="F70" s="71" t="str">
        <f>IF(OR(ISERROR(VLOOKUP(B70,'Acciones DB'!$B$2:$G$28,2,FALSE)),VLOOKUP(B70,'Acciones DB'!$B$2:$G$28,2,FALSE)=0),"",VLOOKUP(B70,'Acciones DB'!$B$2:$G$28,2,FALSE))</f>
        <v/>
      </c>
      <c r="G70" s="72"/>
      <c r="H70" s="73"/>
      <c r="I70" s="52"/>
      <c r="J70" s="95"/>
      <c r="K70" s="92"/>
      <c r="L70" s="92"/>
      <c r="M70" s="92"/>
      <c r="N70" s="92"/>
      <c r="O70" s="42"/>
    </row>
    <row r="71" spans="1:15" s="17" customFormat="1" ht="40" customHeight="1" x14ac:dyDescent="0.2">
      <c r="A71" s="42"/>
      <c r="B71" s="81"/>
      <c r="C71" s="82"/>
      <c r="D71" s="83"/>
      <c r="E71" s="65"/>
      <c r="F71" s="71" t="str">
        <f>IF(OR(ISERROR(VLOOKUP(B70,'Acciones DB'!$B$2:$G$28,3,FALSE)),VLOOKUP(B70,'Acciones DB'!$B$2:$G$28,3,FALSE)=0),"",VLOOKUP(B70,'Acciones DB'!$B$2:$G$28,3,FALSE))</f>
        <v/>
      </c>
      <c r="G71" s="72"/>
      <c r="H71" s="73"/>
      <c r="I71" s="52"/>
      <c r="J71" s="96"/>
      <c r="K71" s="93"/>
      <c r="L71" s="93"/>
      <c r="M71" s="93"/>
      <c r="N71" s="93"/>
      <c r="O71" s="42"/>
    </row>
    <row r="72" spans="1:15" s="17" customFormat="1" ht="40" customHeight="1" x14ac:dyDescent="0.2">
      <c r="A72" s="42"/>
      <c r="B72" s="81"/>
      <c r="C72" s="82"/>
      <c r="D72" s="83"/>
      <c r="E72" s="65"/>
      <c r="F72" s="71" t="str">
        <f>IF(OR(ISERROR(VLOOKUP(B70,'Acciones DB'!$B$2:$G$28,4,FALSE)),VLOOKUP(B70,'Acciones DB'!$B$2:$G$28,4,FALSE)=0),"",VLOOKUP(B70,'Acciones DB'!$B$2:$G$28,4,FALSE))</f>
        <v/>
      </c>
      <c r="G72" s="72"/>
      <c r="H72" s="73"/>
      <c r="I72" s="52"/>
      <c r="J72" s="96"/>
      <c r="K72" s="93"/>
      <c r="L72" s="93"/>
      <c r="M72" s="93"/>
      <c r="N72" s="93"/>
      <c r="O72" s="42"/>
    </row>
    <row r="73" spans="1:15" s="17" customFormat="1" ht="40" customHeight="1" x14ac:dyDescent="0.2">
      <c r="A73" s="42"/>
      <c r="B73" s="81"/>
      <c r="C73" s="82"/>
      <c r="D73" s="83"/>
      <c r="E73" s="65"/>
      <c r="F73" s="71" t="str">
        <f>IF(OR(ISERROR(VLOOKUP(B70,'Acciones DB'!$B$2:$G$28,5,FALSE)),VLOOKUP(B70,'Acciones DB'!$B$2:$G$28,5,FALSE)=0),"",VLOOKUP(B70,'Acciones DB'!$B$2:$G$28,5,FALSE))</f>
        <v/>
      </c>
      <c r="G73" s="72"/>
      <c r="H73" s="73"/>
      <c r="I73" s="52"/>
      <c r="J73" s="96"/>
      <c r="K73" s="93"/>
      <c r="L73" s="93"/>
      <c r="M73" s="93"/>
      <c r="N73" s="93"/>
      <c r="O73" s="42"/>
    </row>
    <row r="74" spans="1:15" s="17" customFormat="1" ht="40" customHeight="1" x14ac:dyDescent="0.2">
      <c r="A74" s="42"/>
      <c r="B74" s="84"/>
      <c r="C74" s="85"/>
      <c r="D74" s="86"/>
      <c r="E74" s="65"/>
      <c r="F74" s="71" t="str">
        <f>IF(OR(ISERROR(VLOOKUP(B70,'Acciones DB'!$B$2:$G$28,6,FALSE)),VLOOKUP(B70,'Acciones DB'!$B$2:$G$28,6,FALSE)=0),"",VLOOKUP(B70,'Acciones DB'!$B$2:$G$28,6,FALSE))</f>
        <v/>
      </c>
      <c r="G74" s="72"/>
      <c r="H74" s="73"/>
      <c r="I74" s="52"/>
      <c r="J74" s="97"/>
      <c r="K74" s="94"/>
      <c r="L74" s="94"/>
      <c r="M74" s="94"/>
      <c r="N74" s="94"/>
      <c r="O74" s="42"/>
    </row>
    <row r="75" spans="1:15" s="17" customFormat="1" ht="40" customHeight="1" x14ac:dyDescent="0.2">
      <c r="A75" s="42"/>
      <c r="B75" s="78" t="s">
        <v>213</v>
      </c>
      <c r="C75" s="79"/>
      <c r="D75" s="80"/>
      <c r="E75" s="65"/>
      <c r="F75" s="71" t="str">
        <f>IF(OR(ISERROR(VLOOKUP(B75,'Acciones DB'!$B$2:$G$28,2,FALSE)),VLOOKUP(B75,'Acciones DB'!$B$2:$G$28,2,FALSE)=0),"",VLOOKUP(B75,'Acciones DB'!$B$2:$G$28,2,FALSE))</f>
        <v/>
      </c>
      <c r="G75" s="72"/>
      <c r="H75" s="73"/>
      <c r="I75" s="52"/>
      <c r="J75" s="95"/>
      <c r="K75" s="92"/>
      <c r="L75" s="92"/>
      <c r="M75" s="92"/>
      <c r="N75" s="92"/>
      <c r="O75" s="42"/>
    </row>
    <row r="76" spans="1:15" s="17" customFormat="1" ht="40" customHeight="1" x14ac:dyDescent="0.2">
      <c r="A76" s="42"/>
      <c r="B76" s="81"/>
      <c r="C76" s="82"/>
      <c r="D76" s="83"/>
      <c r="E76" s="65"/>
      <c r="F76" s="71" t="str">
        <f>IF(OR(ISERROR(VLOOKUP(B75,'Acciones DB'!$B$2:$G$28,3,FALSE)),VLOOKUP(B75,'Acciones DB'!$B$2:$G$28,3,FALSE)=0),"",VLOOKUP(B75,'Acciones DB'!$B$2:$G$28,3,FALSE))</f>
        <v/>
      </c>
      <c r="G76" s="72"/>
      <c r="H76" s="73"/>
      <c r="I76" s="52"/>
      <c r="J76" s="96"/>
      <c r="K76" s="93"/>
      <c r="L76" s="93"/>
      <c r="M76" s="93"/>
      <c r="N76" s="93"/>
      <c r="O76" s="42"/>
    </row>
    <row r="77" spans="1:15" s="17" customFormat="1" ht="40" customHeight="1" x14ac:dyDescent="0.2">
      <c r="A77" s="42"/>
      <c r="B77" s="81"/>
      <c r="C77" s="82"/>
      <c r="D77" s="83"/>
      <c r="E77" s="65"/>
      <c r="F77" s="71" t="str">
        <f>IF(OR(ISERROR(VLOOKUP(B75,'Acciones DB'!$B$2:$G$28,4,FALSE)),VLOOKUP(B75,'Acciones DB'!$B$2:$G$28,4,FALSE)=0),"",VLOOKUP(B75,'Acciones DB'!$B$2:$G$28,4,FALSE))</f>
        <v/>
      </c>
      <c r="G77" s="72"/>
      <c r="H77" s="73"/>
      <c r="I77" s="52"/>
      <c r="J77" s="96"/>
      <c r="K77" s="93"/>
      <c r="L77" s="93"/>
      <c r="M77" s="93"/>
      <c r="N77" s="93"/>
      <c r="O77" s="42"/>
    </row>
    <row r="78" spans="1:15" s="17" customFormat="1" ht="40" customHeight="1" x14ac:dyDescent="0.2">
      <c r="A78" s="42"/>
      <c r="B78" s="81"/>
      <c r="C78" s="82"/>
      <c r="D78" s="83"/>
      <c r="E78" s="65"/>
      <c r="F78" s="71" t="str">
        <f>IF(OR(ISERROR(VLOOKUP(B75,'Acciones DB'!$B$2:$G$28,5,FALSE)),VLOOKUP(B75,'Acciones DB'!$B$2:$G$28,5,FALSE)=0),"",VLOOKUP(B75,'Acciones DB'!$B$2:$G$28,5,FALSE))</f>
        <v/>
      </c>
      <c r="G78" s="72"/>
      <c r="H78" s="73"/>
      <c r="I78" s="52"/>
      <c r="J78" s="96"/>
      <c r="K78" s="93"/>
      <c r="L78" s="93"/>
      <c r="M78" s="93"/>
      <c r="N78" s="93"/>
      <c r="O78" s="42"/>
    </row>
    <row r="79" spans="1:15" s="17" customFormat="1" ht="40" customHeight="1" x14ac:dyDescent="0.2">
      <c r="A79" s="42"/>
      <c r="B79" s="84"/>
      <c r="C79" s="85"/>
      <c r="D79" s="86"/>
      <c r="E79" s="65"/>
      <c r="F79" s="71" t="str">
        <f>IF(OR(ISERROR(VLOOKUP(B75,'Acciones DB'!$B$2:$G$28,6,FALSE)),VLOOKUP(B75,'Acciones DB'!$B$2:$G$28,6,FALSE)=0),"",VLOOKUP(B75,'Acciones DB'!$B$2:$G$28,6,FALSE))</f>
        <v/>
      </c>
      <c r="G79" s="72"/>
      <c r="H79" s="73"/>
      <c r="I79" s="52"/>
      <c r="J79" s="97"/>
      <c r="K79" s="94"/>
      <c r="L79" s="94"/>
      <c r="M79" s="94"/>
      <c r="N79" s="94"/>
      <c r="O79" s="42"/>
    </row>
    <row r="80" spans="1:15" s="17" customFormat="1" x14ac:dyDescent="0.2">
      <c r="A80" s="42"/>
      <c r="B80" s="42"/>
      <c r="C80" s="42"/>
      <c r="D80" s="42"/>
      <c r="E80" s="42"/>
      <c r="F80" s="42"/>
      <c r="G80" s="42"/>
      <c r="H80" s="42"/>
      <c r="I80" s="42"/>
      <c r="J80" s="42"/>
      <c r="K80" s="42"/>
      <c r="L80" s="42"/>
      <c r="M80" s="42"/>
      <c r="N80" s="42"/>
      <c r="O80" s="42"/>
    </row>
    <row r="81" spans="1:15" x14ac:dyDescent="0.2">
      <c r="A81" s="37"/>
      <c r="B81" s="37"/>
      <c r="C81" s="37"/>
      <c r="D81" s="37"/>
      <c r="E81" s="37"/>
      <c r="F81" s="37"/>
      <c r="G81" s="37"/>
      <c r="H81" s="37"/>
      <c r="I81" s="37"/>
      <c r="J81" s="37"/>
      <c r="K81" s="45"/>
      <c r="L81" s="37"/>
      <c r="M81" s="37"/>
      <c r="N81" s="37"/>
      <c r="O81" s="37"/>
    </row>
    <row r="82" spans="1:15" ht="26" x14ac:dyDescent="0.3">
      <c r="A82" s="37"/>
      <c r="B82" s="99" t="s">
        <v>24</v>
      </c>
      <c r="C82" s="99"/>
      <c r="D82" s="99"/>
      <c r="E82" s="99"/>
      <c r="F82" s="37"/>
      <c r="G82" s="37"/>
      <c r="H82" s="37"/>
      <c r="I82" s="37"/>
      <c r="J82" s="37"/>
      <c r="K82" s="37"/>
      <c r="L82" s="37"/>
      <c r="M82" s="37"/>
      <c r="N82" s="37"/>
      <c r="O82" s="37"/>
    </row>
    <row r="83" spans="1:15" x14ac:dyDescent="0.2">
      <c r="A83" s="37"/>
      <c r="B83" s="37"/>
      <c r="C83" s="37"/>
      <c r="D83" s="37"/>
      <c r="E83" s="37"/>
      <c r="F83" s="37"/>
      <c r="G83" s="37"/>
      <c r="H83" s="37"/>
      <c r="I83" s="37"/>
      <c r="J83" s="37"/>
      <c r="K83" s="37"/>
      <c r="L83" s="37"/>
      <c r="M83" s="37"/>
      <c r="N83" s="37"/>
      <c r="O83" s="37"/>
    </row>
    <row r="84" spans="1:15" ht="66" customHeight="1" x14ac:dyDescent="0.25">
      <c r="A84" s="37"/>
      <c r="B84" s="68" t="s">
        <v>213</v>
      </c>
      <c r="C84" s="69"/>
      <c r="D84" s="70"/>
      <c r="E84" s="46"/>
      <c r="F84" s="46"/>
      <c r="G84" s="68"/>
      <c r="H84" s="70"/>
      <c r="I84" s="46"/>
      <c r="J84" s="68"/>
      <c r="K84" s="69"/>
      <c r="L84" s="69"/>
      <c r="M84" s="98"/>
      <c r="N84" s="48"/>
      <c r="O84" s="37"/>
    </row>
    <row r="85" spans="1:15" ht="66" customHeight="1" x14ac:dyDescent="0.25">
      <c r="A85" s="37"/>
      <c r="B85" s="68"/>
      <c r="C85" s="69"/>
      <c r="D85" s="70"/>
      <c r="E85" s="46"/>
      <c r="F85" s="46"/>
      <c r="G85" s="68"/>
      <c r="H85" s="70"/>
      <c r="I85" s="46"/>
      <c r="J85" s="68"/>
      <c r="K85" s="69"/>
      <c r="L85" s="69"/>
      <c r="M85" s="98"/>
      <c r="N85" s="48"/>
      <c r="O85" s="37"/>
    </row>
    <row r="86" spans="1:15" ht="66" customHeight="1" x14ac:dyDescent="0.25">
      <c r="A86" s="37"/>
      <c r="B86" s="68"/>
      <c r="C86" s="69"/>
      <c r="D86" s="70"/>
      <c r="E86" s="46"/>
      <c r="F86" s="46"/>
      <c r="G86" s="68"/>
      <c r="H86" s="70"/>
      <c r="I86" s="46"/>
      <c r="J86" s="68"/>
      <c r="K86" s="69"/>
      <c r="L86" s="69"/>
      <c r="M86" s="98"/>
      <c r="N86" s="48"/>
      <c r="O86" s="37"/>
    </row>
    <row r="87" spans="1:15" ht="66" customHeight="1" x14ac:dyDescent="0.25">
      <c r="A87" s="37"/>
      <c r="B87" s="68"/>
      <c r="C87" s="69"/>
      <c r="D87" s="70"/>
      <c r="E87" s="46"/>
      <c r="F87" s="46"/>
      <c r="G87" s="68"/>
      <c r="H87" s="70"/>
      <c r="I87" s="46"/>
      <c r="J87" s="68"/>
      <c r="K87" s="69"/>
      <c r="L87" s="69"/>
      <c r="M87" s="98"/>
      <c r="N87" s="48"/>
      <c r="O87" s="37"/>
    </row>
    <row r="88" spans="1:15" ht="66" customHeight="1" x14ac:dyDescent="0.25">
      <c r="A88" s="37"/>
      <c r="B88" s="68"/>
      <c r="C88" s="69"/>
      <c r="D88" s="70"/>
      <c r="E88" s="46"/>
      <c r="F88" s="46"/>
      <c r="G88" s="68"/>
      <c r="H88" s="70"/>
      <c r="I88" s="46"/>
      <c r="J88" s="68"/>
      <c r="K88" s="69"/>
      <c r="L88" s="69"/>
      <c r="M88" s="98"/>
      <c r="N88" s="48"/>
      <c r="O88" s="37"/>
    </row>
    <row r="89" spans="1:15" x14ac:dyDescent="0.2">
      <c r="A89" s="37"/>
      <c r="B89" s="37"/>
      <c r="C89" s="37"/>
      <c r="D89" s="37"/>
      <c r="E89" s="37"/>
      <c r="F89" s="37"/>
      <c r="G89" s="37"/>
      <c r="H89" s="37"/>
      <c r="I89" s="37"/>
      <c r="J89" s="37"/>
      <c r="K89" s="37"/>
      <c r="L89" s="37"/>
      <c r="M89" s="37"/>
      <c r="N89" s="37"/>
      <c r="O89" s="37"/>
    </row>
    <row r="90" spans="1:15" x14ac:dyDescent="0.2">
      <c r="A90" s="42"/>
      <c r="B90" s="42"/>
      <c r="C90" s="42"/>
      <c r="D90" s="42"/>
      <c r="E90" s="42"/>
      <c r="F90" s="42"/>
      <c r="G90" s="42"/>
      <c r="H90" s="42"/>
      <c r="I90" s="42"/>
      <c r="J90" s="42"/>
      <c r="K90" s="42"/>
      <c r="L90" s="42"/>
      <c r="M90" s="42"/>
      <c r="N90" s="42"/>
      <c r="O90" s="42"/>
    </row>
    <row r="91" spans="1:15" ht="28" customHeight="1" x14ac:dyDescent="0.2">
      <c r="A91" s="42"/>
      <c r="B91" s="42"/>
      <c r="C91" s="42"/>
      <c r="D91" s="42"/>
      <c r="E91" s="42"/>
      <c r="F91" s="42"/>
      <c r="G91" s="42"/>
      <c r="H91" s="42"/>
      <c r="I91" s="42"/>
      <c r="J91" s="47"/>
      <c r="K91" s="90">
        <v>44082</v>
      </c>
      <c r="L91" s="90"/>
      <c r="M91" s="90"/>
      <c r="N91" s="90"/>
      <c r="O91" s="42"/>
    </row>
    <row r="92" spans="1:15" ht="28" customHeight="1" x14ac:dyDescent="0.2">
      <c r="A92" s="42"/>
      <c r="B92" s="42"/>
      <c r="C92" s="42"/>
      <c r="D92" s="42"/>
      <c r="E92" s="42"/>
      <c r="F92" s="42"/>
      <c r="G92" s="42"/>
      <c r="H92" s="42"/>
      <c r="I92" s="42"/>
      <c r="J92" s="47"/>
      <c r="K92" s="90"/>
      <c r="L92" s="90"/>
      <c r="M92" s="90"/>
      <c r="N92" s="90"/>
      <c r="O92" s="42"/>
    </row>
    <row r="93" spans="1:15" x14ac:dyDescent="0.2">
      <c r="A93" s="42"/>
      <c r="B93" s="42"/>
      <c r="C93" s="42"/>
      <c r="D93" s="42"/>
      <c r="E93" s="42"/>
      <c r="F93" s="42"/>
      <c r="G93" s="42"/>
      <c r="H93" s="42"/>
      <c r="I93" s="42"/>
      <c r="J93" s="42"/>
      <c r="K93" s="42"/>
      <c r="L93" s="42"/>
      <c r="M93" s="42"/>
      <c r="N93" s="42"/>
      <c r="O93" s="42"/>
    </row>
    <row r="94" spans="1:15" hidden="1" x14ac:dyDescent="0.2">
      <c r="A94" s="42"/>
      <c r="B94" s="42"/>
      <c r="C94" s="42"/>
      <c r="D94" s="42"/>
      <c r="E94" s="42"/>
      <c r="F94" s="42"/>
      <c r="G94" s="42"/>
      <c r="H94" s="42"/>
      <c r="I94" s="42"/>
      <c r="J94" s="42"/>
      <c r="K94" s="42"/>
      <c r="L94" s="42"/>
      <c r="M94" s="42"/>
      <c r="N94" s="42"/>
      <c r="O94" s="42"/>
    </row>
    <row r="95" spans="1:15" hidden="1" x14ac:dyDescent="0.2">
      <c r="A95" s="42"/>
      <c r="B95" s="42"/>
      <c r="C95" s="42"/>
      <c r="D95" s="42"/>
      <c r="E95" s="42"/>
      <c r="F95" s="42"/>
      <c r="G95" s="42"/>
      <c r="H95" s="42"/>
      <c r="I95" s="42"/>
      <c r="J95" s="42"/>
      <c r="K95" s="42"/>
      <c r="L95" s="42"/>
      <c r="M95" s="42"/>
      <c r="N95" s="42"/>
      <c r="O95" s="42"/>
    </row>
    <row r="96" spans="1:15" hidden="1" x14ac:dyDescent="0.2">
      <c r="A96" s="42"/>
      <c r="B96" s="42"/>
      <c r="C96" s="42"/>
      <c r="D96" s="42"/>
      <c r="E96" s="42"/>
      <c r="F96" s="42"/>
      <c r="G96" s="42"/>
      <c r="H96" s="42"/>
      <c r="I96" s="42"/>
      <c r="J96" s="42"/>
      <c r="K96" s="42"/>
      <c r="L96" s="42"/>
      <c r="M96" s="42"/>
      <c r="N96" s="42"/>
      <c r="O96" s="42"/>
    </row>
    <row r="97" spans="1:15" hidden="1" x14ac:dyDescent="0.2">
      <c r="A97" s="37"/>
      <c r="B97" s="37"/>
      <c r="C97" s="37"/>
      <c r="D97" s="37"/>
      <c r="E97" s="37"/>
      <c r="F97" s="37"/>
      <c r="G97" s="37"/>
      <c r="H97" s="37"/>
      <c r="I97" s="37"/>
      <c r="J97" s="37"/>
      <c r="K97" s="37"/>
      <c r="L97" s="37"/>
      <c r="M97" s="37"/>
      <c r="N97" s="37"/>
      <c r="O97" s="37"/>
    </row>
    <row r="98" spans="1:15" hidden="1" x14ac:dyDescent="0.2">
      <c r="A98" s="37"/>
      <c r="B98" s="37"/>
      <c r="C98" s="37"/>
      <c r="D98" s="37"/>
      <c r="E98" s="37"/>
      <c r="F98" s="37"/>
      <c r="G98" s="37"/>
      <c r="H98" s="37"/>
      <c r="I98" s="37"/>
      <c r="J98" s="37"/>
      <c r="K98" s="37"/>
      <c r="L98" s="37"/>
      <c r="M98" s="37"/>
      <c r="N98" s="37"/>
      <c r="O98" s="37"/>
    </row>
    <row r="99" spans="1:15" hidden="1" x14ac:dyDescent="0.2">
      <c r="A99" s="37"/>
      <c r="B99" s="37"/>
      <c r="C99" s="37"/>
      <c r="D99" s="37"/>
      <c r="E99" s="37"/>
      <c r="F99" s="37"/>
      <c r="G99" s="37"/>
      <c r="H99" s="37"/>
      <c r="I99" s="37"/>
      <c r="J99" s="37"/>
      <c r="K99" s="37"/>
      <c r="L99" s="37"/>
      <c r="M99" s="37"/>
      <c r="N99" s="37"/>
      <c r="O99" s="37"/>
    </row>
    <row r="100" spans="1:15" hidden="1" x14ac:dyDescent="0.2">
      <c r="A100" s="37"/>
      <c r="B100" s="37"/>
      <c r="C100" s="37"/>
      <c r="D100" s="37"/>
      <c r="E100" s="37"/>
      <c r="F100" s="37"/>
      <c r="G100" s="37"/>
      <c r="H100" s="37"/>
      <c r="I100" s="37"/>
      <c r="J100" s="37"/>
      <c r="K100" s="37"/>
      <c r="L100" s="37"/>
      <c r="M100" s="37"/>
      <c r="N100" s="37"/>
      <c r="O100" s="37"/>
    </row>
    <row r="101" spans="1:15" hidden="1" x14ac:dyDescent="0.2">
      <c r="A101" s="37"/>
      <c r="B101" s="37"/>
      <c r="C101" s="37"/>
      <c r="D101" s="37"/>
      <c r="E101" s="37"/>
      <c r="F101" s="37"/>
      <c r="G101" s="37"/>
      <c r="H101" s="37"/>
      <c r="I101" s="37"/>
      <c r="J101" s="37"/>
      <c r="K101" s="37"/>
      <c r="L101" s="37"/>
      <c r="M101" s="37"/>
      <c r="N101" s="37"/>
      <c r="O101" s="37"/>
    </row>
    <row r="102" spans="1:15" hidden="1" x14ac:dyDescent="0.2">
      <c r="A102" s="37"/>
      <c r="B102" s="37"/>
      <c r="C102" s="37"/>
      <c r="D102" s="37"/>
      <c r="E102" s="37"/>
      <c r="F102" s="37"/>
      <c r="G102" s="37"/>
      <c r="H102" s="37"/>
      <c r="I102" s="37"/>
      <c r="J102" s="37"/>
      <c r="K102" s="37"/>
      <c r="L102" s="37"/>
      <c r="M102" s="37"/>
      <c r="N102" s="37"/>
      <c r="O102" s="37"/>
    </row>
    <row r="103" spans="1:15" hidden="1" x14ac:dyDescent="0.2">
      <c r="A103" s="37"/>
      <c r="B103" s="37"/>
      <c r="C103" s="37"/>
      <c r="D103" s="37"/>
      <c r="E103" s="37"/>
      <c r="F103" s="37"/>
      <c r="G103" s="37"/>
      <c r="H103" s="37"/>
      <c r="I103" s="37"/>
      <c r="J103" s="37"/>
      <c r="K103" s="37"/>
      <c r="L103" s="37"/>
      <c r="M103" s="37"/>
      <c r="N103" s="37"/>
      <c r="O103" s="37"/>
    </row>
    <row r="104" spans="1:15" hidden="1" x14ac:dyDescent="0.2">
      <c r="A104" s="37"/>
      <c r="B104" s="37"/>
      <c r="C104" s="37"/>
      <c r="D104" s="37"/>
      <c r="E104" s="37"/>
      <c r="F104" s="37"/>
      <c r="G104" s="37"/>
      <c r="H104" s="37"/>
      <c r="I104" s="37"/>
      <c r="J104" s="37"/>
      <c r="K104" s="37"/>
      <c r="L104" s="37"/>
      <c r="M104" s="37"/>
      <c r="N104" s="37"/>
      <c r="O104" s="37"/>
    </row>
    <row r="105" spans="1:15" hidden="1" x14ac:dyDescent="0.2">
      <c r="A105" s="37"/>
      <c r="B105" s="37"/>
      <c r="C105" s="37"/>
      <c r="D105" s="37"/>
      <c r="E105" s="37"/>
      <c r="F105" s="37"/>
      <c r="G105" s="37"/>
      <c r="H105" s="37"/>
      <c r="I105" s="37"/>
      <c r="J105" s="37"/>
      <c r="K105" s="37"/>
      <c r="L105" s="37"/>
      <c r="M105" s="37"/>
      <c r="N105" s="37"/>
      <c r="O105" s="37"/>
    </row>
    <row r="106" spans="1:15" hidden="1" x14ac:dyDescent="0.2">
      <c r="A106" s="37"/>
      <c r="B106" s="37"/>
      <c r="C106" s="37"/>
      <c r="D106" s="37"/>
      <c r="E106" s="37"/>
      <c r="F106" s="37"/>
      <c r="G106" s="37"/>
      <c r="H106" s="37"/>
      <c r="I106" s="37"/>
      <c r="J106" s="37"/>
      <c r="K106" s="37"/>
      <c r="L106" s="37"/>
      <c r="M106" s="37"/>
      <c r="N106" s="37"/>
      <c r="O106" s="37"/>
    </row>
    <row r="107" spans="1:15" hidden="1" x14ac:dyDescent="0.2">
      <c r="A107" s="37"/>
      <c r="B107" s="37"/>
      <c r="C107" s="37"/>
      <c r="D107" s="37"/>
      <c r="E107" s="37"/>
      <c r="F107" s="37"/>
      <c r="G107" s="37"/>
      <c r="H107" s="37"/>
      <c r="I107" s="37"/>
      <c r="J107" s="37"/>
      <c r="K107" s="37"/>
      <c r="L107" s="37"/>
      <c r="M107" s="37"/>
      <c r="N107" s="37"/>
      <c r="O107" s="37"/>
    </row>
    <row r="108" spans="1:15" hidden="1" x14ac:dyDescent="0.2">
      <c r="A108" s="37"/>
      <c r="B108" s="37"/>
      <c r="C108" s="37"/>
      <c r="D108" s="37"/>
      <c r="E108" s="37"/>
      <c r="F108" s="37"/>
      <c r="G108" s="37"/>
      <c r="H108" s="37"/>
      <c r="I108" s="37"/>
      <c r="J108" s="37"/>
      <c r="K108" s="37"/>
      <c r="L108" s="37"/>
      <c r="M108" s="37"/>
      <c r="N108" s="37"/>
      <c r="O108" s="37"/>
    </row>
    <row r="109" spans="1:15" hidden="1" x14ac:dyDescent="0.2">
      <c r="A109" s="37"/>
      <c r="B109" s="37"/>
      <c r="C109" s="37"/>
      <c r="D109" s="37"/>
      <c r="E109" s="37"/>
      <c r="F109" s="37"/>
      <c r="G109" s="37"/>
      <c r="H109" s="37"/>
      <c r="I109" s="37"/>
      <c r="J109" s="37"/>
      <c r="K109" s="37"/>
      <c r="L109" s="37"/>
      <c r="M109" s="37"/>
      <c r="N109" s="37"/>
      <c r="O109" s="37"/>
    </row>
    <row r="110" spans="1:15" hidden="1" x14ac:dyDescent="0.2">
      <c r="A110" s="37"/>
      <c r="B110" s="37"/>
      <c r="C110" s="37"/>
      <c r="D110" s="37"/>
      <c r="E110" s="37"/>
      <c r="F110" s="37"/>
      <c r="G110" s="37"/>
      <c r="H110" s="37"/>
      <c r="I110" s="37"/>
      <c r="J110" s="37"/>
      <c r="K110" s="37"/>
      <c r="L110" s="37"/>
      <c r="M110" s="37"/>
      <c r="N110" s="37"/>
      <c r="O110" s="37"/>
    </row>
    <row r="111" spans="1:15" hidden="1" x14ac:dyDescent="0.2">
      <c r="A111" s="37"/>
      <c r="B111" s="37"/>
      <c r="C111" s="37"/>
      <c r="D111" s="37"/>
      <c r="E111" s="37"/>
      <c r="F111" s="37"/>
      <c r="G111" s="37"/>
      <c r="H111" s="37"/>
      <c r="I111" s="37"/>
      <c r="J111" s="37"/>
      <c r="K111" s="37"/>
      <c r="L111" s="37"/>
      <c r="M111" s="37"/>
      <c r="N111" s="37"/>
      <c r="O111" s="37"/>
    </row>
    <row r="112" spans="1:15" hidden="1" x14ac:dyDescent="0.2">
      <c r="A112" s="37"/>
      <c r="B112" s="37"/>
      <c r="C112" s="37"/>
      <c r="D112" s="37"/>
      <c r="E112" s="37"/>
      <c r="F112" s="37"/>
      <c r="G112" s="37"/>
      <c r="H112" s="37"/>
      <c r="I112" s="37"/>
      <c r="J112" s="37"/>
      <c r="K112" s="37"/>
      <c r="L112" s="37"/>
      <c r="M112" s="37"/>
      <c r="N112" s="37"/>
      <c r="O112" s="37"/>
    </row>
    <row r="113" spans="1:15" hidden="1" x14ac:dyDescent="0.2">
      <c r="A113" s="37"/>
      <c r="B113" s="37"/>
      <c r="C113" s="37"/>
      <c r="D113" s="37"/>
      <c r="E113" s="37"/>
      <c r="F113" s="37"/>
      <c r="G113" s="37"/>
      <c r="H113" s="37"/>
      <c r="I113" s="37"/>
      <c r="J113" s="37"/>
      <c r="K113" s="37"/>
      <c r="L113" s="37"/>
      <c r="M113" s="37"/>
      <c r="N113" s="37"/>
      <c r="O113" s="37"/>
    </row>
    <row r="114" spans="1:15" hidden="1" x14ac:dyDescent="0.2">
      <c r="A114" s="37"/>
      <c r="B114" s="37"/>
      <c r="C114" s="37"/>
      <c r="D114" s="37"/>
      <c r="E114" s="37"/>
      <c r="F114" s="37"/>
      <c r="G114" s="37"/>
      <c r="H114" s="37"/>
      <c r="I114" s="37"/>
      <c r="J114" s="37"/>
      <c r="K114" s="37"/>
      <c r="L114" s="37"/>
      <c r="M114" s="37"/>
      <c r="N114" s="37"/>
      <c r="O114" s="37"/>
    </row>
    <row r="115" spans="1:15" hidden="1" x14ac:dyDescent="0.2">
      <c r="A115" s="37"/>
      <c r="B115" s="37"/>
      <c r="C115" s="37"/>
      <c r="D115" s="37"/>
      <c r="E115" s="37"/>
      <c r="F115" s="37"/>
      <c r="G115" s="37"/>
      <c r="H115" s="37"/>
      <c r="I115" s="37"/>
      <c r="J115" s="37"/>
      <c r="K115" s="37"/>
      <c r="L115" s="37"/>
      <c r="M115" s="37"/>
      <c r="N115" s="37"/>
      <c r="O115" s="37"/>
    </row>
    <row r="116" spans="1:15" hidden="1" x14ac:dyDescent="0.2">
      <c r="A116" s="37"/>
      <c r="B116" s="37"/>
      <c r="C116" s="37"/>
      <c r="D116" s="37"/>
      <c r="E116" s="37"/>
      <c r="F116" s="37"/>
      <c r="G116" s="37"/>
      <c r="H116" s="37"/>
      <c r="I116" s="37"/>
      <c r="J116" s="37"/>
      <c r="K116" s="37"/>
      <c r="L116" s="37"/>
      <c r="M116" s="37"/>
      <c r="N116" s="37"/>
      <c r="O116" s="37"/>
    </row>
    <row r="117" spans="1:15" hidden="1" x14ac:dyDescent="0.2">
      <c r="A117" s="37"/>
      <c r="B117" s="37"/>
      <c r="C117" s="37"/>
      <c r="D117" s="37"/>
      <c r="E117" s="37"/>
      <c r="F117" s="37"/>
      <c r="G117" s="37"/>
      <c r="H117" s="37"/>
      <c r="I117" s="37"/>
      <c r="J117" s="37"/>
      <c r="K117" s="37"/>
      <c r="L117" s="37"/>
      <c r="M117" s="37"/>
      <c r="N117" s="37"/>
      <c r="O117" s="37"/>
    </row>
    <row r="118" spans="1:15" hidden="1" x14ac:dyDescent="0.2">
      <c r="A118" s="37"/>
      <c r="B118" s="37"/>
      <c r="C118" s="37"/>
      <c r="D118" s="37"/>
      <c r="E118" s="37"/>
      <c r="F118" s="37"/>
      <c r="G118" s="37"/>
      <c r="H118" s="37"/>
      <c r="I118" s="37"/>
      <c r="J118" s="37"/>
      <c r="K118" s="37"/>
      <c r="L118" s="37"/>
      <c r="M118" s="37"/>
      <c r="N118" s="37"/>
      <c r="O118" s="37"/>
    </row>
    <row r="119" spans="1:15" hidden="1" x14ac:dyDescent="0.2">
      <c r="A119" s="37"/>
      <c r="B119" s="37"/>
      <c r="C119" s="37"/>
      <c r="D119" s="37"/>
      <c r="E119" s="37"/>
      <c r="F119" s="37"/>
      <c r="G119" s="37"/>
      <c r="H119" s="37"/>
      <c r="I119" s="37"/>
      <c r="J119" s="37"/>
      <c r="K119" s="37"/>
      <c r="L119" s="37"/>
      <c r="M119" s="37"/>
      <c r="N119" s="37"/>
      <c r="O119" s="37"/>
    </row>
    <row r="120" spans="1:15" hidden="1" x14ac:dyDescent="0.2">
      <c r="A120" s="37"/>
      <c r="B120" s="37"/>
      <c r="C120" s="37"/>
      <c r="D120" s="37"/>
      <c r="E120" s="37"/>
      <c r="F120" s="37"/>
      <c r="G120" s="37"/>
      <c r="H120" s="37"/>
      <c r="I120" s="37"/>
      <c r="J120" s="37"/>
      <c r="K120" s="37"/>
      <c r="L120" s="37"/>
      <c r="M120" s="37"/>
      <c r="N120" s="37"/>
      <c r="O120" s="37"/>
    </row>
    <row r="121" spans="1:15" hidden="1" x14ac:dyDescent="0.2">
      <c r="A121" s="37"/>
      <c r="B121" s="37"/>
      <c r="C121" s="37"/>
      <c r="D121" s="37"/>
      <c r="E121" s="37"/>
      <c r="F121" s="37"/>
      <c r="G121" s="37"/>
      <c r="H121" s="37"/>
      <c r="I121" s="37"/>
      <c r="J121" s="37"/>
      <c r="K121" s="37"/>
      <c r="L121" s="37"/>
      <c r="M121" s="37"/>
      <c r="N121" s="37"/>
      <c r="O121" s="37"/>
    </row>
    <row r="122" spans="1:15" hidden="1" x14ac:dyDescent="0.2">
      <c r="A122" s="37"/>
      <c r="B122" s="37"/>
      <c r="C122" s="37"/>
      <c r="D122" s="37"/>
      <c r="E122" s="37"/>
      <c r="F122" s="37"/>
      <c r="G122" s="37"/>
      <c r="H122" s="37"/>
      <c r="I122" s="37"/>
      <c r="J122" s="37"/>
      <c r="K122" s="37"/>
      <c r="L122" s="37"/>
      <c r="M122" s="37"/>
      <c r="N122" s="37"/>
      <c r="O122" s="37"/>
    </row>
    <row r="123" spans="1:15" hidden="1" x14ac:dyDescent="0.2">
      <c r="A123" s="37"/>
      <c r="B123" s="37"/>
      <c r="C123" s="37"/>
      <c r="D123" s="37"/>
      <c r="E123" s="37"/>
      <c r="F123" s="37"/>
      <c r="G123" s="37"/>
      <c r="H123" s="37"/>
      <c r="I123" s="37"/>
      <c r="J123" s="37"/>
      <c r="K123" s="37"/>
      <c r="L123" s="37"/>
      <c r="M123" s="37"/>
      <c r="N123" s="37"/>
      <c r="O123" s="37"/>
    </row>
    <row r="124" spans="1:15" hidden="1" x14ac:dyDescent="0.2">
      <c r="A124" s="37"/>
      <c r="B124" s="37"/>
      <c r="C124" s="37"/>
      <c r="D124" s="37"/>
      <c r="E124" s="37"/>
      <c r="F124" s="37"/>
      <c r="G124" s="37"/>
      <c r="H124" s="37"/>
      <c r="I124" s="37"/>
      <c r="J124" s="37"/>
      <c r="K124" s="37"/>
      <c r="L124" s="37"/>
      <c r="M124" s="37"/>
      <c r="N124" s="37"/>
      <c r="O124" s="37"/>
    </row>
    <row r="125" spans="1:15" hidden="1" x14ac:dyDescent="0.2">
      <c r="A125" s="37"/>
      <c r="B125" s="37"/>
      <c r="C125" s="37"/>
      <c r="D125" s="37"/>
      <c r="E125" s="37"/>
      <c r="F125" s="37"/>
      <c r="G125" s="37"/>
      <c r="H125" s="37"/>
      <c r="I125" s="37"/>
      <c r="J125" s="37"/>
      <c r="K125" s="37"/>
      <c r="L125" s="37"/>
      <c r="M125" s="37"/>
      <c r="N125" s="37"/>
      <c r="O125" s="37"/>
    </row>
    <row r="126" spans="1:15" hidden="1" x14ac:dyDescent="0.2">
      <c r="A126" s="37"/>
      <c r="B126" s="37"/>
      <c r="C126" s="37"/>
      <c r="D126" s="37"/>
      <c r="E126" s="37"/>
      <c r="F126" s="37"/>
      <c r="G126" s="37"/>
      <c r="H126" s="37"/>
      <c r="I126" s="37"/>
      <c r="J126" s="37"/>
      <c r="K126" s="37"/>
      <c r="L126" s="37"/>
      <c r="M126" s="37"/>
      <c r="N126" s="37"/>
      <c r="O126" s="37"/>
    </row>
    <row r="127" spans="1:15" hidden="1" x14ac:dyDescent="0.2">
      <c r="A127" s="37"/>
      <c r="B127" s="37"/>
      <c r="C127" s="37"/>
      <c r="D127" s="37"/>
      <c r="E127" s="37"/>
      <c r="F127" s="37"/>
      <c r="G127" s="37"/>
      <c r="H127" s="37"/>
      <c r="I127" s="37"/>
      <c r="J127" s="37"/>
      <c r="K127" s="37"/>
      <c r="L127" s="37"/>
      <c r="M127" s="37"/>
      <c r="N127" s="37"/>
      <c r="O127" s="37"/>
    </row>
    <row r="128" spans="1:15" hidden="1" x14ac:dyDescent="0.2">
      <c r="A128" s="37"/>
      <c r="B128" s="37"/>
      <c r="C128" s="37"/>
      <c r="D128" s="37"/>
      <c r="E128" s="37"/>
      <c r="F128" s="37"/>
      <c r="G128" s="37"/>
      <c r="H128" s="37"/>
      <c r="I128" s="37"/>
      <c r="J128" s="37"/>
      <c r="K128" s="37"/>
      <c r="L128" s="37"/>
      <c r="M128" s="37"/>
      <c r="N128" s="37"/>
      <c r="O128" s="37"/>
    </row>
    <row r="129" spans="1:15" hidden="1" x14ac:dyDescent="0.2">
      <c r="A129" s="37"/>
      <c r="B129" s="37"/>
      <c r="C129" s="37"/>
      <c r="D129" s="37"/>
      <c r="E129" s="37"/>
      <c r="F129" s="37"/>
      <c r="G129" s="37"/>
      <c r="H129" s="37"/>
      <c r="I129" s="37"/>
      <c r="J129" s="37"/>
      <c r="K129" s="37"/>
      <c r="L129" s="37"/>
      <c r="M129" s="37"/>
      <c r="N129" s="37"/>
      <c r="O129" s="37"/>
    </row>
    <row r="130" spans="1:15" hidden="1" x14ac:dyDescent="0.2">
      <c r="A130" s="37"/>
      <c r="B130" s="37"/>
      <c r="C130" s="37"/>
      <c r="D130" s="37"/>
      <c r="E130" s="37"/>
      <c r="F130" s="37"/>
      <c r="G130" s="37"/>
      <c r="H130" s="37"/>
      <c r="I130" s="37"/>
      <c r="J130" s="37"/>
      <c r="K130" s="37"/>
      <c r="L130" s="37"/>
      <c r="M130" s="37"/>
      <c r="N130" s="37"/>
      <c r="O130" s="37"/>
    </row>
    <row r="131" spans="1:15" hidden="1" x14ac:dyDescent="0.2">
      <c r="A131" s="37"/>
      <c r="B131" s="37"/>
      <c r="C131" s="37"/>
      <c r="D131" s="37"/>
      <c r="E131" s="37"/>
      <c r="F131" s="37"/>
      <c r="G131" s="37"/>
      <c r="H131" s="37"/>
      <c r="I131" s="37"/>
      <c r="J131" s="37"/>
      <c r="K131" s="37"/>
      <c r="L131" s="37"/>
      <c r="M131" s="37"/>
      <c r="N131" s="37"/>
      <c r="O131" s="37"/>
    </row>
    <row r="132" spans="1:15" hidden="1" x14ac:dyDescent="0.2">
      <c r="A132" s="37"/>
      <c r="B132" s="37"/>
      <c r="C132" s="37"/>
      <c r="D132" s="37"/>
      <c r="E132" s="37"/>
      <c r="F132" s="37"/>
      <c r="G132" s="37"/>
      <c r="H132" s="37"/>
      <c r="I132" s="37"/>
      <c r="J132" s="37"/>
      <c r="K132" s="37"/>
      <c r="L132" s="37"/>
      <c r="M132" s="37"/>
      <c r="N132" s="37"/>
      <c r="O132" s="37"/>
    </row>
    <row r="133" spans="1:15" hidden="1" x14ac:dyDescent="0.2">
      <c r="A133" s="37"/>
      <c r="B133" s="37"/>
      <c r="C133" s="37"/>
      <c r="D133" s="37"/>
      <c r="E133" s="37"/>
      <c r="F133" s="37"/>
      <c r="G133" s="37"/>
      <c r="H133" s="37"/>
      <c r="I133" s="37"/>
      <c r="J133" s="37"/>
      <c r="K133" s="37"/>
      <c r="L133" s="37"/>
      <c r="M133" s="37"/>
      <c r="N133" s="37"/>
      <c r="O133" s="37"/>
    </row>
    <row r="134" spans="1:15" hidden="1" x14ac:dyDescent="0.2">
      <c r="A134" s="37"/>
      <c r="B134" s="37"/>
      <c r="C134" s="37"/>
      <c r="D134" s="37"/>
      <c r="E134" s="37"/>
      <c r="F134" s="37"/>
      <c r="G134" s="37"/>
      <c r="H134" s="37"/>
      <c r="I134" s="37"/>
      <c r="J134" s="37"/>
      <c r="K134" s="37"/>
      <c r="L134" s="37"/>
      <c r="M134" s="37"/>
      <c r="N134" s="37"/>
      <c r="O134" s="37"/>
    </row>
    <row r="135" spans="1:15" hidden="1" x14ac:dyDescent="0.2">
      <c r="A135" s="37"/>
      <c r="B135" s="37"/>
      <c r="C135" s="37"/>
      <c r="D135" s="37"/>
      <c r="E135" s="37"/>
      <c r="F135" s="37"/>
      <c r="G135" s="37"/>
      <c r="H135" s="37"/>
      <c r="I135" s="37"/>
      <c r="J135" s="37"/>
      <c r="K135" s="37"/>
      <c r="L135" s="37"/>
      <c r="M135" s="37"/>
      <c r="N135" s="37"/>
      <c r="O135" s="37"/>
    </row>
    <row r="136" spans="1:15" hidden="1" x14ac:dyDescent="0.2">
      <c r="A136" s="37"/>
      <c r="B136" s="37"/>
      <c r="C136" s="37"/>
      <c r="D136" s="37"/>
      <c r="E136" s="37"/>
      <c r="F136" s="37"/>
      <c r="G136" s="37"/>
      <c r="H136" s="37"/>
      <c r="I136" s="37"/>
      <c r="J136" s="37"/>
      <c r="K136" s="37"/>
      <c r="L136" s="37"/>
      <c r="M136" s="37"/>
      <c r="N136" s="37"/>
      <c r="O136" s="37"/>
    </row>
  </sheetData>
  <sheetProtection sheet="1" formatCells="0" selectLockedCells="1"/>
  <mergeCells count="109">
    <mergeCell ref="K4:M4"/>
    <mergeCell ref="L5:M5"/>
    <mergeCell ref="L6:M6"/>
    <mergeCell ref="B53:F54"/>
    <mergeCell ref="G53:M54"/>
    <mergeCell ref="I13:I14"/>
    <mergeCell ref="I16:I17"/>
    <mergeCell ref="J16:K17"/>
    <mergeCell ref="L16:M17"/>
    <mergeCell ref="L15:M15"/>
    <mergeCell ref="J15:K15"/>
    <mergeCell ref="J13:K14"/>
    <mergeCell ref="L13:M14"/>
    <mergeCell ref="B37:F38"/>
    <mergeCell ref="G37:M38"/>
    <mergeCell ref="B39:F40"/>
    <mergeCell ref="G39:M40"/>
    <mergeCell ref="B41:F42"/>
    <mergeCell ref="G41:M42"/>
    <mergeCell ref="E51:J51"/>
    <mergeCell ref="G46:M47"/>
    <mergeCell ref="G48:M49"/>
    <mergeCell ref="B75:D79"/>
    <mergeCell ref="B70:D74"/>
    <mergeCell ref="F71:H71"/>
    <mergeCell ref="F70:H70"/>
    <mergeCell ref="F72:H72"/>
    <mergeCell ref="F73:H73"/>
    <mergeCell ref="F74:H74"/>
    <mergeCell ref="F75:H75"/>
    <mergeCell ref="E2:J2"/>
    <mergeCell ref="E14:F14"/>
    <mergeCell ref="E13:F13"/>
    <mergeCell ref="E20:J20"/>
    <mergeCell ref="B22:G25"/>
    <mergeCell ref="H22:N25"/>
    <mergeCell ref="B26:G29"/>
    <mergeCell ref="H26:N29"/>
    <mergeCell ref="E35:J35"/>
    <mergeCell ref="L12:M12"/>
    <mergeCell ref="J12:K12"/>
    <mergeCell ref="H13:H14"/>
    <mergeCell ref="H16:H17"/>
    <mergeCell ref="J11:M11"/>
    <mergeCell ref="J6:K6"/>
    <mergeCell ref="J5:K5"/>
    <mergeCell ref="J59:N59"/>
    <mergeCell ref="B60:D64"/>
    <mergeCell ref="N60:N64"/>
    <mergeCell ref="F60:H60"/>
    <mergeCell ref="F61:H61"/>
    <mergeCell ref="F62:H62"/>
    <mergeCell ref="B57:E57"/>
    <mergeCell ref="K65:K69"/>
    <mergeCell ref="L65:L69"/>
    <mergeCell ref="M65:M69"/>
    <mergeCell ref="N65:N69"/>
    <mergeCell ref="J60:J64"/>
    <mergeCell ref="K60:K64"/>
    <mergeCell ref="L60:L64"/>
    <mergeCell ref="M60:M64"/>
    <mergeCell ref="F76:H76"/>
    <mergeCell ref="K91:N92"/>
    <mergeCell ref="E44:J44"/>
    <mergeCell ref="L70:L74"/>
    <mergeCell ref="M70:M74"/>
    <mergeCell ref="N70:N74"/>
    <mergeCell ref="J75:J79"/>
    <mergeCell ref="K75:K79"/>
    <mergeCell ref="L75:L79"/>
    <mergeCell ref="M75:M79"/>
    <mergeCell ref="N75:N79"/>
    <mergeCell ref="J70:J74"/>
    <mergeCell ref="K70:K74"/>
    <mergeCell ref="G87:H87"/>
    <mergeCell ref="G86:H86"/>
    <mergeCell ref="G85:H85"/>
    <mergeCell ref="G84:H84"/>
    <mergeCell ref="J84:M84"/>
    <mergeCell ref="J85:M85"/>
    <mergeCell ref="J86:M86"/>
    <mergeCell ref="J87:M87"/>
    <mergeCell ref="J88:M88"/>
    <mergeCell ref="J65:J69"/>
    <mergeCell ref="B82:E82"/>
    <mergeCell ref="B84:D84"/>
    <mergeCell ref="B85:D85"/>
    <mergeCell ref="B86:D86"/>
    <mergeCell ref="B87:D87"/>
    <mergeCell ref="B88:D88"/>
    <mergeCell ref="F78:H78"/>
    <mergeCell ref="F79:H79"/>
    <mergeCell ref="E15:F15"/>
    <mergeCell ref="E16:F16"/>
    <mergeCell ref="E17:F17"/>
    <mergeCell ref="F63:H63"/>
    <mergeCell ref="F64:H64"/>
    <mergeCell ref="E59:H59"/>
    <mergeCell ref="F65:H65"/>
    <mergeCell ref="F66:H66"/>
    <mergeCell ref="F77:H77"/>
    <mergeCell ref="B65:D69"/>
    <mergeCell ref="F67:H67"/>
    <mergeCell ref="F68:H68"/>
    <mergeCell ref="F69:H69"/>
    <mergeCell ref="B59:D59"/>
    <mergeCell ref="B46:F47"/>
    <mergeCell ref="B48:F49"/>
    <mergeCell ref="G88:H88"/>
  </mergeCells>
  <phoneticPr fontId="3" type="noConversion"/>
  <conditionalFormatting sqref="J65:K65">
    <cfRule type="iconSet" priority="5">
      <iconSet iconSet="5Quarters">
        <cfvo type="percent" val="0"/>
        <cfvo type="num" val="1"/>
        <cfvo type="num" val="2"/>
        <cfvo type="num" val="3"/>
        <cfvo type="num" val="4"/>
      </iconSet>
    </cfRule>
  </conditionalFormatting>
  <conditionalFormatting sqref="J70:K70">
    <cfRule type="iconSet" priority="4">
      <iconSet iconSet="5Quarters">
        <cfvo type="percent" val="0"/>
        <cfvo type="num" val="1"/>
        <cfvo type="num" val="2"/>
        <cfvo type="num" val="3"/>
        <cfvo type="num" val="4"/>
      </iconSet>
    </cfRule>
  </conditionalFormatting>
  <conditionalFormatting sqref="J75:K75">
    <cfRule type="iconSet" priority="3">
      <iconSet iconSet="5Quarters">
        <cfvo type="percent" val="0"/>
        <cfvo type="num" val="1"/>
        <cfvo type="num" val="2"/>
        <cfvo type="num" val="3"/>
        <cfvo type="num" val="4"/>
      </iconSet>
    </cfRule>
  </conditionalFormatting>
  <conditionalFormatting sqref="J60:J64">
    <cfRule type="dataBar" priority="1">
      <dataBar>
        <cfvo type="min"/>
        <cfvo type="max"/>
        <color theme="0"/>
      </dataBar>
      <extLst>
        <ext xmlns:x14="http://schemas.microsoft.com/office/spreadsheetml/2009/9/main" uri="{B025F937-C7B1-47D3-B67F-A62EFF666E3E}">
          <x14:id>{6340985A-FEF2-7F4D-B15A-2876448C027B}</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61" r:id="rId3" name="Button 37">
              <controlPr defaultSize="0" print="0" autoFill="0" autoPict="0" macro="[0]!Hoja1.Color_Activity">
                <anchor moveWithCells="1" sizeWithCells="1">
                  <from>
                    <xdr:col>10</xdr:col>
                    <xdr:colOff>381000</xdr:colOff>
                    <xdr:row>55</xdr:row>
                    <xdr:rowOff>152400</xdr:rowOff>
                  </from>
                  <to>
                    <xdr:col>12</xdr:col>
                    <xdr:colOff>533400</xdr:colOff>
                    <xdr:row>57</xdr:row>
                    <xdr:rowOff>12700</xdr:rowOff>
                  </to>
                </anchor>
              </controlPr>
            </control>
          </mc:Choice>
        </mc:AlternateContent>
        <mc:AlternateContent xmlns:mc="http://schemas.openxmlformats.org/markup-compatibility/2006">
          <mc:Choice Requires="x14">
            <control shapeId="1097" r:id="rId4" name="Button 73">
              <controlPr defaultSize="0" print="0" autoFill="0" autoPict="0" macro="[0]!Hoja1.Color_Activity">
                <anchor moveWithCells="1" sizeWithCells="1">
                  <from>
                    <xdr:col>8</xdr:col>
                    <xdr:colOff>228600</xdr:colOff>
                    <xdr:row>90</xdr:row>
                    <xdr:rowOff>177800</xdr:rowOff>
                  </from>
                  <to>
                    <xdr:col>9</xdr:col>
                    <xdr:colOff>393700</xdr:colOff>
                    <xdr:row>91</xdr:row>
                    <xdr:rowOff>203200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6340985A-FEF2-7F4D-B15A-2876448C027B}">
            <x14:dataBar minLength="0" maxLength="100" gradient="0">
              <x14:cfvo type="autoMin"/>
              <x14:cfvo type="autoMax"/>
              <x14:negativeFillColor rgb="FFE7133F"/>
              <x14:axisColor rgb="FF000000"/>
            </x14:dataBar>
          </x14:cfRule>
          <xm:sqref>J60:J64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promptTitle="Lista Opciones" prompt="Selecciona una opción" xr:uid="{D17F5688-1BBA-6F41-80B0-B4742BDEC9C0}">
          <x14:formula1>
            <xm:f>'Plan DB'!$C$7:$C$10</xm:f>
          </x14:formula1>
          <xm:sqref>G53:M54</xm:sqref>
        </x14:dataValidation>
        <x14:dataValidation type="date" errorStyle="warning" operator="greaterThanOrEqual" allowBlank="1" showInputMessage="1" showErrorMessage="1" errorTitle="Error de Fecha" error="El valor ingresado no es una fecha válida" promptTitle="Ingrese una fecha" prompt="Ingrese una fecha desde hoy hacia adelante, si no hay tarea simplemente se deja vacío" xr:uid="{CFE7D19A-DAE0-4247-9F06-1692DDFC7210}">
          <x14:formula1>
            <xm:f>'Plan DB'!$D$7</xm:f>
          </x14:formula1>
          <xm:sqref>I60:I79</xm:sqref>
        </x14:dataValidation>
        <x14:dataValidation type="list" allowBlank="1" showInputMessage="1" showErrorMessage="1" xr:uid="{70F5E28A-DE25-8943-895D-B24EC5336CB8}">
          <x14:formula1>
            <xm:f>'Plan DB'!$D$8</xm:f>
          </x14:formula1>
          <xm:sqref>E60:E79</xm:sqref>
        </x14:dataValidation>
        <x14:dataValidation type="list" allowBlank="1" showInputMessage="1" showErrorMessage="1" promptTitle="Selecciona tus logros" prompt="Selecciona las actividades logradas" xr:uid="{2D9C22AF-8C80-DC44-A657-A30D2C0DE990}">
          <x14:formula1>
            <xm:f>'Acciones DB'!$B$2:$B$28</xm:f>
          </x14:formula1>
          <xm:sqref>J84:J88 G84:G88 B84:D88</xm:sqref>
        </x14:dataValidation>
        <x14:dataValidation type="list" allowBlank="1" showInputMessage="1" showErrorMessage="1" promptTitle="Selecciona una actividad" prompt="Selecciona la actividad que quieras realizar" xr:uid="{C8D06C85-9B66-834D-B60C-602075B6FABD}">
          <x14:formula1>
            <xm:f>'Acciones DB'!$B$2:$B$28</xm:f>
          </x14:formula1>
          <xm:sqref>B60:D79</xm:sqref>
        </x14:dataValidation>
        <x14:dataValidation type="list" allowBlank="1" showInputMessage="1" showErrorMessage="1" promptTitle="Lista de opciones" prompt="Selecciona una opción" xr:uid="{A5EC270A-25A5-1F40-8D76-1D9AB1E77BED}">
          <x14:formula1>
            <xm:f>'Plan DB'!$B$7:$B$12</xm:f>
          </x14:formula1>
          <xm:sqref>G46:M49</xm:sqref>
        </x14:dataValidation>
        <x14:dataValidation type="date" operator="lessThanOrEqual" allowBlank="1" showInputMessage="1" showErrorMessage="1" promptTitle="Rellenar fecha de creación" prompt="Se debe elegir una fecha de creación" xr:uid="{AE5AACD5-2695-DA4C-975E-0D2D518E9947}">
          <x14:formula1>
            <xm:f>'Plan DB'!D7</xm:f>
          </x14:formula1>
          <xm:sqref>L5:M5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4CC4A-D062-4640-93FE-892258F38FE8}">
  <sheetPr codeName="Hoja2"/>
  <dimension ref="A1:AC35"/>
  <sheetViews>
    <sheetView tabSelected="1" workbookViewId="0">
      <selection activeCell="A2" sqref="A2"/>
    </sheetView>
  </sheetViews>
  <sheetFormatPr baseColWidth="10" defaultRowHeight="15" zeroHeight="1" x14ac:dyDescent="0.2"/>
  <cols>
    <col min="1" max="1" width="12.83203125" style="54" customWidth="1"/>
    <col min="2" max="2" width="18.6640625" style="54" customWidth="1"/>
    <col min="3" max="3" width="20.6640625" style="54" customWidth="1"/>
    <col min="4" max="4" width="41.33203125" style="54" customWidth="1"/>
    <col min="5" max="5" width="44.1640625" style="54" customWidth="1"/>
    <col min="6" max="6" width="25.6640625" style="54" customWidth="1"/>
    <col min="7" max="7" width="18.5" style="54" customWidth="1"/>
    <col min="8" max="8" width="17.6640625" style="54" customWidth="1"/>
    <col min="9" max="9" width="24.5" style="54" customWidth="1"/>
    <col min="10" max="10" width="23" style="54" customWidth="1"/>
    <col min="11" max="11" width="26.83203125" style="54" customWidth="1"/>
    <col min="12" max="12" width="20.6640625" style="54" customWidth="1"/>
    <col min="13" max="13" width="12.33203125" style="54" customWidth="1"/>
    <col min="14" max="14" width="11.83203125" style="54" customWidth="1"/>
    <col min="15" max="15" width="12.5" style="54" customWidth="1"/>
    <col min="16" max="16" width="12.33203125" style="54" customWidth="1"/>
    <col min="17" max="17" width="11.33203125" style="54" customWidth="1"/>
    <col min="18" max="18" width="22.1640625" style="54" customWidth="1"/>
    <col min="19" max="19" width="23.1640625" style="54" customWidth="1"/>
    <col min="20" max="20" width="30.6640625" style="54" customWidth="1"/>
    <col min="21" max="21" width="29.5" style="54" customWidth="1"/>
    <col min="22" max="22" width="23.33203125" style="54" customWidth="1"/>
    <col min="23" max="23" width="24.83203125" style="54" customWidth="1"/>
    <col min="24" max="24" width="25" style="54" customWidth="1"/>
    <col min="25" max="25" width="27.6640625" style="54" customWidth="1"/>
    <col min="26" max="26" width="18.33203125" style="54" customWidth="1"/>
    <col min="27" max="27" width="17.1640625" style="54" customWidth="1"/>
    <col min="28" max="28" width="13.33203125" style="54" customWidth="1"/>
    <col min="29" max="29" width="15" style="54" customWidth="1"/>
    <col min="30" max="16384" width="10.83203125" style="54"/>
  </cols>
  <sheetData>
    <row r="1" spans="1:29" x14ac:dyDescent="0.2">
      <c r="A1" s="54" t="s">
        <v>25</v>
      </c>
      <c r="B1" s="54" t="s">
        <v>41</v>
      </c>
      <c r="C1" s="54" t="s">
        <v>26</v>
      </c>
      <c r="D1" s="54" t="s">
        <v>27</v>
      </c>
      <c r="E1" s="54" t="s">
        <v>28</v>
      </c>
      <c r="F1" s="54" t="s">
        <v>29</v>
      </c>
      <c r="G1" s="54" t="s">
        <v>30</v>
      </c>
      <c r="H1" s="54" t="s">
        <v>31</v>
      </c>
      <c r="I1" s="54" t="s">
        <v>32</v>
      </c>
      <c r="J1" s="54" t="s">
        <v>33</v>
      </c>
      <c r="K1" s="54" t="s">
        <v>34</v>
      </c>
      <c r="L1" s="54" t="s">
        <v>35</v>
      </c>
      <c r="M1" s="54" t="s">
        <v>36</v>
      </c>
      <c r="N1" s="54" t="s">
        <v>37</v>
      </c>
      <c r="O1" s="54" t="s">
        <v>38</v>
      </c>
      <c r="P1" s="54" t="s">
        <v>39</v>
      </c>
      <c r="Q1" s="54" t="s">
        <v>40</v>
      </c>
      <c r="R1" s="54" t="s">
        <v>44</v>
      </c>
      <c r="S1" s="54" t="s">
        <v>45</v>
      </c>
      <c r="T1" s="54" t="s">
        <v>47</v>
      </c>
      <c r="U1" s="54" t="s">
        <v>46</v>
      </c>
      <c r="V1" s="54" t="s">
        <v>215</v>
      </c>
      <c r="W1" s="54" t="s">
        <v>216</v>
      </c>
      <c r="X1" s="54" t="s">
        <v>217</v>
      </c>
      <c r="Y1" s="54" t="s">
        <v>218</v>
      </c>
      <c r="Z1" s="54" t="s">
        <v>221</v>
      </c>
      <c r="AA1" s="54" t="s">
        <v>222</v>
      </c>
      <c r="AB1" s="54" t="s">
        <v>223</v>
      </c>
      <c r="AC1" s="54" t="s">
        <v>224</v>
      </c>
    </row>
    <row r="2" spans="1:29" x14ac:dyDescent="0.2">
      <c r="A2" s="53" t="s">
        <v>241</v>
      </c>
      <c r="B2" s="54">
        <f>IF(ISERROR(INDEX([1]!Tabla7[#Data],MATCH(Tabla1[[#This Row],[RUT]],[1]!Tabla7[RUT],0),1)),"",INDEX([1]!Tabla7[#Data],MATCH(Tabla1[[#This Row],[RUT]],[1]!Tabla7[RUT],0),1))</f>
        <v>1052</v>
      </c>
      <c r="C2" s="54" t="str">
        <f>IF(ISERROR(VLOOKUP(Tabla1[[#This Row],[UID]],[1]!Tabla7[#Data],2,FALSE)),"",VLOOKUP(Tabla1[[#This Row],[UID]],[1]!Tabla7[#Data],2,FALSE))</f>
        <v>Andrés Calvert Raddatz</v>
      </c>
      <c r="D2" s="54" t="str">
        <f>IF(ISERROR(VLOOKUP(Tabla1[[#This Row],[UID]],[1]!Tabla9[#Data],4,FALSE)),"",VLOOKUP(Tabla1[[#This Row],[UID]],[1]!Tabla9[#Data],4,FALSE))</f>
        <v>Ingeniería de Ejecución en Administración</v>
      </c>
      <c r="E2" s="54" t="str">
        <f>IF(ISERROR(VLOOKUP(Tabla1[[#This Row],[UID]],[1]!Tabla9[#Data],5,FALSE)),"",VLOOKUP(Tabla1[[#This Row],[UID]],[1]!Tabla9[#Data],5,FALSE))</f>
        <v>Universidad Diego Portales - Chile</v>
      </c>
      <c r="F2" s="54" t="str">
        <f>IF(ISERROR(VLOOKUP(Tabla1[[#This Row],[RUT]],[1]!Tabla2[[RUT]:[Deal owner]],6,FALSE)),"",VLOOKUP(Tabla1[[#This Row],[RUT]],[1]!Tabla2[[RUT]:[Deal owner]],6,FALSE))</f>
        <v>María Teresa Ferrada</v>
      </c>
      <c r="G2" s="55">
        <f>IF(ISERROR(VLOOKUP(Tabla1[[#This Row],[RUT]],[1]!Tabla2[[RUT]:[Deal owner]],2,FALSE)),"",VLOOKUP(Tabla1[[#This Row],[RUT]],[1]!Tabla2[[RUT]:[Deal owner]],2,FALSE))</f>
        <v>44095</v>
      </c>
      <c r="H2" s="54" t="str">
        <f>IF(ISERROR(VLOOKUP(_xlfn.CONCAT(Tabla1[[#This Row],[UID]],"-",1),[1]!Tabla3[[user-order]:[intervalue]],2,FALSE)),"",VLOOKUP(_xlfn.CONCAT(Tabla1[[#This Row],[UID]],"-",1),[1]!Tabla3[[user-order]:[intervalue]],2,FALSE))</f>
        <v>Gerente Comercial</v>
      </c>
      <c r="I2" s="54" t="str">
        <f>IF(ISERROR(VLOOKUP(_xlfn.CONCAT(Tabla1[[#This Row],[UID]],"-",2),[1]!Tabla3[[user-order]:[intervalue]],2,FALSE)),"",VLOOKUP(_xlfn.CONCAT(Tabla1[[#This Row],[UID]],"-",2),[1]!Tabla3[[user-order]:[intervalue]],2,FALSE))</f>
        <v>Director Comercial</v>
      </c>
      <c r="J2" s="54" t="str">
        <f>IF(ISERROR(VLOOKUP(_xlfn.CONCAT(Tabla1[[#This Row],[UID]],"-",3),[1]!Tabla3[[user-order]:[intervalue]],2,FALSE)),"",VLOOKUP(_xlfn.CONCAT(Tabla1[[#This Row],[UID]],"-",3),[1]!Tabla3[[user-order]:[intervalue]],2,FALSE))</f>
        <v>Subgerente Comercial</v>
      </c>
      <c r="K2" s="54" t="str">
        <f>IF(ISERROR(VLOOKUP(_xlfn.CONCAT(Tabla1[[#This Row],[UID]],"-",4),[1]!Tabla3[[user-order]:[intervalue]],2,FALSE)),"",VLOOKUP(_xlfn.CONCAT(Tabla1[[#This Row],[UID]],"-",4),[1]!Tabla3[[user-order]:[intervalue]],2,FALSE))</f>
        <v/>
      </c>
      <c r="L2" s="54" t="str">
        <f>IF(ISERROR(VLOOKUP(_xlfn.CONCAT(Tabla1[[#This Row],[UID]],"-",5),[1]!Tabla3[[user-order]:[intervalue]],2,FALSE)),"",VLOOKUP(_xlfn.CONCAT(Tabla1[[#This Row],[UID]],"-",5),[1]!Tabla3[[user-order]:[intervalue]],2,FALSE))</f>
        <v/>
      </c>
      <c r="M2" s="54" t="str">
        <f>IF(ISERROR(VLOOKUP(_xlfn.CONCAT(Tabla1[[#This Row],[UID]],"-",1),[1]!Tabla4[[user-order]:[name]],2,FALSE)),"",VLOOKUP(_xlfn.CONCAT(Tabla1[[#This Row],[UID]],"-",1),[1]!Tabla4[[user-order]:[name]],2,FALSE))</f>
        <v/>
      </c>
      <c r="N2" s="54" t="str">
        <f>IF(ISERROR(VLOOKUP(_xlfn.CONCAT(Tabla1[[#This Row],[UID]],"-",2),[1]!Tabla4[[user-order]:[name]],2,FALSE)),"",VLOOKUP(_xlfn.CONCAT(Tabla1[[#This Row],[UID]],"-",2),[1]!Tabla4[[user-order]:[name]],2,FALSE))</f>
        <v/>
      </c>
      <c r="O2" s="54" t="str">
        <f>IF(ISERROR(VLOOKUP(_xlfn.CONCAT(Tabla1[[#This Row],[UID]],"-",3),[1]!Tabla4[[user-order]:[name]],2,FALSE)),"",VLOOKUP(_xlfn.CONCAT(Tabla1[[#This Row],[UID]],"-",3),[1]!Tabla4[[user-order]:[name]],2,FALSE))</f>
        <v/>
      </c>
      <c r="P2" s="54" t="str">
        <f>IF(ISERROR(VLOOKUP(_xlfn.CONCAT(Tabla1[[#This Row],[UID]],"-",4),[1]!Tabla4[[user-order]:[name]],2,FALSE)),"",VLOOKUP(_xlfn.CONCAT(Tabla1[[#This Row],[UID]],"-",4),[1]!Tabla4[[user-order]:[name]],2,FALSE))</f>
        <v/>
      </c>
      <c r="Q2" s="54" t="str">
        <f>IF(ISERROR(VLOOKUP(_xlfn.CONCAT(Tabla1[[#This Row],[UID]],"-",5),[1]!Tabla4[[user-order]:[name]],2,FALSE)),"",VLOOKUP(_xlfn.CONCAT(Tabla1[[#This Row],[UID]],"-",5),[1]!Tabla4[[user-order]:[name]],2,FALSE))</f>
        <v/>
      </c>
      <c r="R2" s="54" t="str">
        <f>IF(ISERROR(VLOOKUP(_xlfn.CONCAT(Tabla1[[#This Row],[UID]],"-known-strengths-VERDADERO"),[1]!Tabla5[[Search ID]:[texto acumulado]],8,FALSE)),"No hay",VLOOKUP(_xlfn.CONCAT(Tabla1[[#This Row],[UID]],"-known-strengths-VERDADERO"),[1]!Tabla5[[Search ID]:[texto acumulado]],8,FALSE))</f>
        <v>Compromiso y orientación al logro"", Confiable, comprometido, resiliente""</v>
      </c>
      <c r="S2" s="54" t="str">
        <f>IF(ISERROR(VLOOKUP(_xlfn.CONCAT(Tabla1[[#This Row],[UID]],"-unknown-strengths-VERDADERO"),[1]!Tabla5[[Search ID]:[texto acumulado]],8,FALSE)),"No hay",VLOOKUP(_xlfn.CONCAT(Tabla1[[#This Row],[UID]],"-unknown-strengths-VERDADERO"),[1]!Tabla5[[Search ID]:[texto acumulado]],8,FALSE))</f>
        <v>Tiene Inteligencia interpersonal y la pone a disposición de sus relaciones de trabajo""</v>
      </c>
      <c r="T2" s="54" t="str">
        <f>IF(ISERROR(VLOOKUP(_xlfn.CONCAT(Tabla1[[#This Row],[UID]],"-short-term-VERDADERO"),[1]!Tabla5[[Search ID]:[texto acumulado]],8,FALSE)),"No hay",VLOOKUP(_xlfn.CONCAT(Tabla1[[#This Row],[UID]],"-short-term-VERDADERO"),[1]!Tabla5[[Search ID]:[texto acumulado]],8,FALSE))</f>
        <v>No hay</v>
      </c>
      <c r="U2" s="54" t="str">
        <f>IF(ISERROR(VLOOKUP(_xlfn.CONCAT(Tabla1[[#This Row],[UID]],"-long-term-VERDADERO"),[1]!Tabla5[[Search ID]:[texto acumulado]],8,FALSE)),"No hay",VLOOKUP(_xlfn.CONCAT(Tabla1[[#This Row],[UID]],"-long-term-VERDADERO"),[1]!Tabla5[[Search ID]:[texto acumulado]],8,FALSE))</f>
        <v>No hay</v>
      </c>
      <c r="V2" s="54">
        <f ca="1">COUNTIF([1]!Tabla6[SearchValueMonth],_xlfn.CONCAT(Tabla1[[#This Row],[UID]],"-Postulado"))</f>
        <v>0</v>
      </c>
      <c r="W2" s="54">
        <f ca="1">COUNTIF([1]!Tabla6[SearchValueMonth],_xlfn.CONCAT(Tabla1[[#This Row],[UID]],"-En entrevista"))</f>
        <v>0</v>
      </c>
      <c r="X2" s="54">
        <f ca="1">COUNTIF([1]!Tabla6[SearchValueWeek],_xlfn.CONCAT(Tabla1[[#This Row],[UID]],"-Postulado"))</f>
        <v>0</v>
      </c>
      <c r="Y2" s="54">
        <f ca="1">COUNTIF([1]!Tabla6[SearchValueWeek],_xlfn.CONCAT(Tabla1[[#This Row],[UID]],"-En entrevista"))</f>
        <v>0</v>
      </c>
      <c r="Z2" s="54">
        <f ca="1">COUNTIF([1]!Tabla10[SearchValueMonth],Tabla1[[#This Row],[UID]])</f>
        <v>0</v>
      </c>
      <c r="AA2" s="54">
        <f ca="1">COUNTIF([1]!Tabla10[SearchValueWeek],Tabla1[[#This Row],[UID]])</f>
        <v>0</v>
      </c>
      <c r="AB2" s="54">
        <f ca="1">COUNTIF([1]!Tabla11[SearchValueMonth],Tabla1[[#This Row],[UID]])</f>
        <v>0</v>
      </c>
      <c r="AC2" s="54">
        <f ca="1">COUNTIF([1]!Tabla11[SearchValueWeek],Tabla1[[#This Row],[UID]])</f>
        <v>0</v>
      </c>
    </row>
    <row r="3" spans="1:29" x14ac:dyDescent="0.2"/>
    <row r="4" spans="1:29" x14ac:dyDescent="0.2"/>
    <row r="5" spans="1:29" x14ac:dyDescent="0.2"/>
    <row r="6" spans="1:29" hidden="1" x14ac:dyDescent="0.2">
      <c r="D6" s="56"/>
      <c r="E6" s="56"/>
      <c r="F6" s="56"/>
      <c r="G6" s="56"/>
      <c r="H6" s="56"/>
      <c r="I6" s="56"/>
      <c r="J6" s="56"/>
      <c r="K6" s="56"/>
    </row>
    <row r="7" spans="1:29" hidden="1" x14ac:dyDescent="0.2">
      <c r="B7" s="54" t="s">
        <v>238</v>
      </c>
      <c r="C7" s="54" t="s">
        <v>238</v>
      </c>
      <c r="D7" s="63">
        <f ca="1">TODAY()</f>
        <v>44187</v>
      </c>
      <c r="E7" s="56"/>
      <c r="F7" s="56"/>
      <c r="G7" s="56"/>
      <c r="H7" s="56"/>
      <c r="I7" s="56"/>
      <c r="J7" s="56"/>
      <c r="K7" s="56"/>
    </row>
    <row r="8" spans="1:29" hidden="1" x14ac:dyDescent="0.2">
      <c r="B8" s="54" t="s">
        <v>209</v>
      </c>
      <c r="C8" s="54" t="s">
        <v>21</v>
      </c>
      <c r="D8" s="57" t="s">
        <v>225</v>
      </c>
      <c r="E8" s="56"/>
      <c r="F8" s="56"/>
      <c r="G8" s="56"/>
      <c r="H8" s="56"/>
      <c r="I8" s="56"/>
      <c r="J8" s="56"/>
      <c r="K8" s="56"/>
    </row>
    <row r="9" spans="1:29" ht="15" hidden="1" customHeight="1" x14ac:dyDescent="0.2">
      <c r="B9" s="54" t="s">
        <v>7</v>
      </c>
      <c r="C9" s="54" t="s">
        <v>239</v>
      </c>
      <c r="D9" s="57"/>
      <c r="E9" s="56"/>
      <c r="F9" s="58"/>
      <c r="G9" s="59"/>
      <c r="H9" s="58"/>
      <c r="I9" s="58"/>
      <c r="J9" s="58"/>
      <c r="K9" s="58"/>
      <c r="L9" s="58"/>
    </row>
    <row r="10" spans="1:29" ht="15" hidden="1" customHeight="1" x14ac:dyDescent="0.2">
      <c r="B10" s="54" t="s">
        <v>8</v>
      </c>
      <c r="C10" s="54" t="s">
        <v>22</v>
      </c>
      <c r="D10" s="57"/>
      <c r="E10" s="56"/>
      <c r="F10" s="58"/>
      <c r="G10" s="59"/>
      <c r="H10" s="58"/>
      <c r="I10" s="58"/>
      <c r="J10" s="58"/>
      <c r="K10" s="58"/>
      <c r="L10" s="58"/>
    </row>
    <row r="11" spans="1:29" hidden="1" x14ac:dyDescent="0.2">
      <c r="B11" s="54" t="s">
        <v>9</v>
      </c>
      <c r="D11" s="57"/>
      <c r="E11" s="56"/>
      <c r="F11" s="56"/>
      <c r="G11" s="56"/>
      <c r="H11" s="56"/>
      <c r="I11" s="56"/>
      <c r="J11" s="56"/>
      <c r="K11" s="56"/>
    </row>
    <row r="12" spans="1:29" hidden="1" x14ac:dyDescent="0.2">
      <c r="B12" s="54" t="s">
        <v>10</v>
      </c>
      <c r="D12" s="57"/>
      <c r="E12" s="56"/>
      <c r="F12" s="56"/>
      <c r="G12" s="56"/>
      <c r="H12" s="56"/>
      <c r="I12" s="56"/>
      <c r="J12" s="56"/>
      <c r="K12" s="56"/>
    </row>
    <row r="13" spans="1:29" hidden="1" x14ac:dyDescent="0.2">
      <c r="D13" s="57"/>
      <c r="E13" s="56"/>
      <c r="F13" s="56"/>
      <c r="G13" s="56"/>
      <c r="H13" s="56"/>
      <c r="I13" s="56"/>
      <c r="J13" s="56"/>
      <c r="K13" s="56"/>
    </row>
    <row r="14" spans="1:29" hidden="1" x14ac:dyDescent="0.2">
      <c r="D14" s="57"/>
      <c r="E14" s="56"/>
      <c r="F14" s="56"/>
      <c r="G14" s="56"/>
      <c r="H14" s="56"/>
      <c r="I14" s="56"/>
      <c r="J14" s="56"/>
      <c r="K14" s="56"/>
    </row>
    <row r="15" spans="1:29" hidden="1" x14ac:dyDescent="0.2">
      <c r="D15" s="57"/>
      <c r="E15" s="56"/>
      <c r="F15" s="56"/>
      <c r="G15" s="56"/>
      <c r="H15" s="56"/>
      <c r="I15" s="56"/>
      <c r="J15" s="56"/>
      <c r="K15" s="56"/>
    </row>
    <row r="16" spans="1:29" hidden="1" x14ac:dyDescent="0.2">
      <c r="D16" s="57"/>
      <c r="E16" s="56"/>
      <c r="F16" s="56"/>
      <c r="G16" s="56"/>
      <c r="H16" s="56"/>
      <c r="I16" s="56"/>
      <c r="J16" s="56"/>
      <c r="K16" s="56"/>
    </row>
    <row r="17" spans="4:11" hidden="1" x14ac:dyDescent="0.2">
      <c r="D17" s="57"/>
      <c r="E17" s="56"/>
      <c r="F17" s="56"/>
      <c r="G17" s="56"/>
      <c r="H17" s="56"/>
      <c r="I17" s="56"/>
      <c r="J17" s="56"/>
      <c r="K17" s="56"/>
    </row>
    <row r="18" spans="4:11" hidden="1" x14ac:dyDescent="0.2">
      <c r="D18" s="57"/>
      <c r="E18" s="56"/>
      <c r="F18" s="56"/>
      <c r="G18" s="56"/>
      <c r="H18" s="56"/>
      <c r="I18" s="56"/>
      <c r="J18" s="56"/>
      <c r="K18" s="56"/>
    </row>
    <row r="19" spans="4:11" hidden="1" x14ac:dyDescent="0.2">
      <c r="D19" s="57"/>
      <c r="E19" s="56"/>
      <c r="F19" s="56"/>
      <c r="G19" s="56"/>
      <c r="H19" s="56"/>
      <c r="I19" s="56"/>
      <c r="J19" s="56"/>
      <c r="K19" s="56"/>
    </row>
    <row r="20" spans="4:11" hidden="1" x14ac:dyDescent="0.2">
      <c r="D20" s="57"/>
      <c r="E20" s="56"/>
      <c r="F20" s="56"/>
      <c r="G20" s="56"/>
      <c r="H20" s="56"/>
      <c r="I20" s="56"/>
      <c r="J20" s="56"/>
      <c r="K20" s="56"/>
    </row>
    <row r="21" spans="4:11" hidden="1" x14ac:dyDescent="0.2">
      <c r="D21" s="56"/>
      <c r="E21" s="56"/>
      <c r="F21" s="56"/>
      <c r="G21" s="56"/>
      <c r="H21" s="56"/>
      <c r="I21" s="56"/>
      <c r="J21" s="56"/>
      <c r="K21" s="56"/>
    </row>
    <row r="22" spans="4:11" hidden="1" x14ac:dyDescent="0.2">
      <c r="D22" s="56"/>
      <c r="E22" s="56"/>
      <c r="F22" s="56"/>
      <c r="G22" s="56"/>
      <c r="H22" s="56"/>
      <c r="I22" s="56"/>
      <c r="J22" s="56"/>
      <c r="K22" s="56"/>
    </row>
    <row r="23" spans="4:11" hidden="1" x14ac:dyDescent="0.2">
      <c r="D23" s="56"/>
      <c r="E23" s="56"/>
      <c r="F23" s="56"/>
      <c r="G23" s="56"/>
      <c r="H23" s="56"/>
      <c r="I23" s="56"/>
      <c r="J23" s="56"/>
      <c r="K23" s="56"/>
    </row>
    <row r="24" spans="4:11" hidden="1" x14ac:dyDescent="0.2">
      <c r="D24" s="56"/>
      <c r="E24" s="56"/>
      <c r="F24" s="56"/>
      <c r="G24" s="56"/>
      <c r="H24" s="56"/>
      <c r="I24" s="56"/>
      <c r="J24" s="56"/>
      <c r="K24" s="56"/>
    </row>
    <row r="25" spans="4:11" hidden="1" x14ac:dyDescent="0.2">
      <c r="D25" s="56"/>
      <c r="E25" s="56"/>
      <c r="F25" s="56"/>
      <c r="G25" s="56"/>
      <c r="H25" s="56"/>
      <c r="I25" s="56"/>
      <c r="J25" s="56"/>
      <c r="K25" s="56"/>
    </row>
    <row r="26" spans="4:11" hidden="1" x14ac:dyDescent="0.2">
      <c r="D26" s="56"/>
      <c r="E26" s="56"/>
      <c r="F26" s="56"/>
      <c r="G26" s="56"/>
      <c r="H26" s="56"/>
      <c r="I26" s="56"/>
      <c r="J26" s="56"/>
      <c r="K26" s="56"/>
    </row>
    <row r="27" spans="4:11" hidden="1" x14ac:dyDescent="0.2">
      <c r="D27" s="56"/>
      <c r="E27" s="56"/>
      <c r="F27" s="56"/>
      <c r="G27" s="56"/>
      <c r="H27" s="56"/>
      <c r="I27" s="56"/>
      <c r="J27" s="56"/>
      <c r="K27" s="56"/>
    </row>
    <row r="28" spans="4:11" hidden="1" x14ac:dyDescent="0.2">
      <c r="D28" s="56"/>
      <c r="E28" s="56"/>
      <c r="F28" s="56"/>
      <c r="G28" s="56"/>
      <c r="H28" s="56"/>
      <c r="I28" s="56"/>
      <c r="J28" s="56"/>
      <c r="K28" s="56"/>
    </row>
    <row r="29" spans="4:11" hidden="1" x14ac:dyDescent="0.2">
      <c r="D29" s="56"/>
      <c r="E29" s="56"/>
      <c r="F29" s="56"/>
      <c r="G29" s="56"/>
      <c r="H29" s="56"/>
      <c r="I29" s="56"/>
      <c r="J29" s="56"/>
      <c r="K29" s="56"/>
    </row>
    <row r="30" spans="4:11" hidden="1" x14ac:dyDescent="0.2">
      <c r="D30" s="56"/>
      <c r="E30" s="56"/>
      <c r="F30" s="56"/>
      <c r="G30" s="56"/>
      <c r="H30" s="56"/>
      <c r="I30" s="56"/>
      <c r="J30" s="56"/>
      <c r="K30" s="56"/>
    </row>
    <row r="31" spans="4:11" hidden="1" x14ac:dyDescent="0.2">
      <c r="D31" s="56"/>
      <c r="E31" s="56"/>
      <c r="F31" s="56"/>
      <c r="G31" s="56"/>
      <c r="H31" s="56"/>
      <c r="I31" s="56"/>
      <c r="J31" s="56"/>
      <c r="K31" s="56"/>
    </row>
    <row r="32" spans="4:11" hidden="1" x14ac:dyDescent="0.2">
      <c r="D32" s="56"/>
      <c r="E32" s="56"/>
      <c r="F32" s="56"/>
      <c r="G32" s="56"/>
      <c r="H32" s="56"/>
      <c r="I32" s="56"/>
      <c r="J32" s="56"/>
      <c r="K32" s="56"/>
    </row>
    <row r="33" spans="4:11" hidden="1" x14ac:dyDescent="0.2">
      <c r="D33" s="56"/>
      <c r="E33" s="56"/>
      <c r="F33" s="56"/>
      <c r="G33" s="56"/>
      <c r="H33" s="56"/>
      <c r="I33" s="56"/>
      <c r="J33" s="56"/>
      <c r="K33" s="56"/>
    </row>
    <row r="34" spans="4:11" hidden="1" x14ac:dyDescent="0.2">
      <c r="D34" s="56"/>
      <c r="E34" s="56"/>
      <c r="F34" s="56"/>
      <c r="G34" s="56"/>
      <c r="H34" s="56"/>
      <c r="I34" s="56"/>
      <c r="J34" s="56"/>
      <c r="K34" s="56"/>
    </row>
    <row r="35" spans="4:11" hidden="1" x14ac:dyDescent="0.2">
      <c r="D35" s="56"/>
      <c r="E35" s="56"/>
      <c r="F35" s="56"/>
      <c r="G35" s="56"/>
      <c r="H35" s="56"/>
      <c r="I35" s="56"/>
      <c r="J35" s="56"/>
      <c r="K35" s="56"/>
    </row>
  </sheetData>
  <sheetProtection sheet="1" objects="1" scenarios="1" selectLockedCells="1"/>
  <phoneticPr fontId="3"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7F001-28A1-CB43-8B19-7712560EB4D5}">
  <sheetPr codeName="Hoja3"/>
  <dimension ref="A1:K28"/>
  <sheetViews>
    <sheetView workbookViewId="0">
      <selection activeCell="K11" sqref="K11"/>
    </sheetView>
  </sheetViews>
  <sheetFormatPr baseColWidth="10" defaultRowHeight="15" x14ac:dyDescent="0.2"/>
  <cols>
    <col min="1" max="7" width="32.5" customWidth="1"/>
    <col min="8" max="8" width="12.33203125" customWidth="1"/>
    <col min="11" max="11" width="18.1640625" bestFit="1" customWidth="1"/>
  </cols>
  <sheetData>
    <row r="1" spans="1:11" ht="16" x14ac:dyDescent="0.2">
      <c r="A1" s="5" t="s">
        <v>48</v>
      </c>
      <c r="B1" s="1" t="s">
        <v>49</v>
      </c>
      <c r="C1" s="1" t="s">
        <v>50</v>
      </c>
      <c r="D1" s="1" t="s">
        <v>51</v>
      </c>
      <c r="E1" s="1" t="s">
        <v>52</v>
      </c>
      <c r="F1" s="1" t="s">
        <v>53</v>
      </c>
      <c r="G1" s="1" t="s">
        <v>54</v>
      </c>
      <c r="H1" s="4" t="s">
        <v>144</v>
      </c>
    </row>
    <row r="2" spans="1:11" ht="16" x14ac:dyDescent="0.2">
      <c r="A2" s="8" t="s">
        <v>237</v>
      </c>
      <c r="B2" s="9" t="s">
        <v>213</v>
      </c>
      <c r="C2" s="22"/>
      <c r="D2" s="22"/>
      <c r="E2" s="22"/>
      <c r="F2" s="22"/>
      <c r="G2" s="23"/>
      <c r="H2" s="7"/>
      <c r="K2" s="66" t="s">
        <v>235</v>
      </c>
    </row>
    <row r="3" spans="1:11" ht="64" x14ac:dyDescent="0.2">
      <c r="A3" s="8" t="s">
        <v>55</v>
      </c>
      <c r="B3" s="9" t="s">
        <v>211</v>
      </c>
      <c r="C3" s="10" t="s">
        <v>56</v>
      </c>
      <c r="D3" s="10" t="s">
        <v>57</v>
      </c>
      <c r="E3" s="10" t="s">
        <v>58</v>
      </c>
      <c r="F3" s="10" t="s">
        <v>59</v>
      </c>
      <c r="G3" s="11" t="s">
        <v>60</v>
      </c>
      <c r="H3" s="6" t="b">
        <v>0</v>
      </c>
      <c r="K3" s="67" t="s">
        <v>145</v>
      </c>
    </row>
    <row r="4" spans="1:11" ht="48" x14ac:dyDescent="0.2">
      <c r="A4" s="8" t="s">
        <v>55</v>
      </c>
      <c r="B4" s="9" t="s">
        <v>61</v>
      </c>
      <c r="C4" s="2" t="s">
        <v>62</v>
      </c>
      <c r="D4" s="10" t="s">
        <v>63</v>
      </c>
      <c r="E4" s="10" t="s">
        <v>64</v>
      </c>
      <c r="F4" s="10" t="s">
        <v>65</v>
      </c>
      <c r="G4" s="10" t="s">
        <v>66</v>
      </c>
      <c r="H4" s="6" t="b">
        <v>0</v>
      </c>
      <c r="K4" s="67" t="s">
        <v>237</v>
      </c>
    </row>
    <row r="5" spans="1:11" ht="80" x14ac:dyDescent="0.2">
      <c r="A5" s="8" t="s">
        <v>55</v>
      </c>
      <c r="B5" s="9" t="s">
        <v>67</v>
      </c>
      <c r="C5" s="2" t="s">
        <v>68</v>
      </c>
      <c r="D5" s="10" t="s">
        <v>69</v>
      </c>
      <c r="E5" s="10" t="s">
        <v>70</v>
      </c>
      <c r="F5" s="10" t="s">
        <v>71</v>
      </c>
      <c r="G5" s="10" t="s">
        <v>72</v>
      </c>
      <c r="H5" s="6" t="b">
        <v>0</v>
      </c>
      <c r="K5" s="67" t="s">
        <v>55</v>
      </c>
    </row>
    <row r="6" spans="1:11" ht="96" x14ac:dyDescent="0.2">
      <c r="A6" s="8" t="s">
        <v>55</v>
      </c>
      <c r="B6" s="9" t="s">
        <v>73</v>
      </c>
      <c r="C6" s="2" t="s">
        <v>74</v>
      </c>
      <c r="D6" s="10" t="s">
        <v>75</v>
      </c>
      <c r="E6" s="10" t="s">
        <v>76</v>
      </c>
      <c r="F6" s="10" t="s">
        <v>77</v>
      </c>
      <c r="G6" s="10" t="s">
        <v>78</v>
      </c>
      <c r="H6" s="6" t="b">
        <v>0</v>
      </c>
      <c r="K6" s="67" t="s">
        <v>197</v>
      </c>
    </row>
    <row r="7" spans="1:11" ht="48" x14ac:dyDescent="0.2">
      <c r="A7" s="8" t="s">
        <v>55</v>
      </c>
      <c r="B7" s="9" t="s">
        <v>79</v>
      </c>
      <c r="C7" s="2" t="s">
        <v>80</v>
      </c>
      <c r="D7" s="10" t="s">
        <v>81</v>
      </c>
      <c r="E7" s="10" t="s">
        <v>82</v>
      </c>
      <c r="F7" s="10" t="s">
        <v>83</v>
      </c>
      <c r="G7" s="10" t="s">
        <v>84</v>
      </c>
      <c r="H7" s="6" t="b">
        <v>0</v>
      </c>
      <c r="K7" s="67" t="s">
        <v>85</v>
      </c>
    </row>
    <row r="8" spans="1:11" ht="48" x14ac:dyDescent="0.2">
      <c r="A8" s="8" t="s">
        <v>85</v>
      </c>
      <c r="B8" s="3" t="s">
        <v>86</v>
      </c>
      <c r="C8" s="3" t="s">
        <v>87</v>
      </c>
      <c r="D8" s="10" t="s">
        <v>88</v>
      </c>
      <c r="E8" s="10" t="s">
        <v>89</v>
      </c>
      <c r="F8" s="10" t="s">
        <v>90</v>
      </c>
      <c r="G8" s="10" t="s">
        <v>91</v>
      </c>
      <c r="H8" s="6" t="b">
        <v>0</v>
      </c>
      <c r="K8" s="67" t="s">
        <v>236</v>
      </c>
    </row>
    <row r="9" spans="1:11" ht="32" x14ac:dyDescent="0.2">
      <c r="A9" s="8" t="s">
        <v>85</v>
      </c>
      <c r="B9" s="3" t="s">
        <v>92</v>
      </c>
      <c r="C9" s="3" t="s">
        <v>93</v>
      </c>
      <c r="D9" s="10" t="s">
        <v>94</v>
      </c>
      <c r="E9" s="10" t="s">
        <v>95</v>
      </c>
      <c r="F9" s="10" t="s">
        <v>96</v>
      </c>
      <c r="G9" s="11" t="s">
        <v>97</v>
      </c>
      <c r="H9" s="6" t="b">
        <v>0</v>
      </c>
    </row>
    <row r="10" spans="1:11" ht="48" x14ac:dyDescent="0.2">
      <c r="A10" s="8" t="s">
        <v>85</v>
      </c>
      <c r="B10" s="2" t="s">
        <v>98</v>
      </c>
      <c r="C10" s="2" t="s">
        <v>99</v>
      </c>
      <c r="D10" s="10" t="s">
        <v>100</v>
      </c>
      <c r="E10" s="10" t="s">
        <v>101</v>
      </c>
      <c r="F10" s="12" t="s">
        <v>102</v>
      </c>
      <c r="G10" s="12" t="s">
        <v>103</v>
      </c>
      <c r="H10" s="6" t="b">
        <v>0</v>
      </c>
    </row>
    <row r="11" spans="1:11" ht="48" x14ac:dyDescent="0.2">
      <c r="A11" s="8" t="s">
        <v>85</v>
      </c>
      <c r="B11" s="2" t="s">
        <v>104</v>
      </c>
      <c r="C11" s="2" t="s">
        <v>105</v>
      </c>
      <c r="D11" s="10" t="s">
        <v>106</v>
      </c>
      <c r="E11" s="10" t="s">
        <v>107</v>
      </c>
      <c r="F11" s="10" t="s">
        <v>108</v>
      </c>
      <c r="G11" s="12" t="s">
        <v>109</v>
      </c>
      <c r="H11" s="6" t="b">
        <v>0</v>
      </c>
    </row>
    <row r="12" spans="1:11" ht="32" x14ac:dyDescent="0.2">
      <c r="A12" s="8" t="s">
        <v>85</v>
      </c>
      <c r="B12" s="2" t="s">
        <v>110</v>
      </c>
      <c r="C12" s="2" t="s">
        <v>111</v>
      </c>
      <c r="D12" s="10" t="s">
        <v>112</v>
      </c>
      <c r="E12" s="12" t="s">
        <v>113</v>
      </c>
      <c r="F12" s="10" t="s">
        <v>214</v>
      </c>
      <c r="G12" s="10" t="s">
        <v>214</v>
      </c>
      <c r="H12" s="6" t="b">
        <v>0</v>
      </c>
    </row>
    <row r="13" spans="1:11" ht="64" x14ac:dyDescent="0.2">
      <c r="A13" s="8" t="s">
        <v>85</v>
      </c>
      <c r="B13" s="2" t="s">
        <v>114</v>
      </c>
      <c r="C13" s="2" t="s">
        <v>115</v>
      </c>
      <c r="D13" s="10" t="s">
        <v>116</v>
      </c>
      <c r="E13" s="10" t="s">
        <v>117</v>
      </c>
      <c r="F13" s="12" t="s">
        <v>118</v>
      </c>
      <c r="G13" s="12" t="s">
        <v>119</v>
      </c>
      <c r="H13" s="6" t="b">
        <v>0</v>
      </c>
    </row>
    <row r="14" spans="1:11" ht="144" x14ac:dyDescent="0.2">
      <c r="A14" s="8" t="s">
        <v>85</v>
      </c>
      <c r="B14" s="2" t="s">
        <v>120</v>
      </c>
      <c r="C14" s="2" t="s">
        <v>121</v>
      </c>
      <c r="D14" s="10" t="s">
        <v>122</v>
      </c>
      <c r="E14" s="10" t="s">
        <v>123</v>
      </c>
      <c r="F14" s="10" t="s">
        <v>124</v>
      </c>
      <c r="G14" s="12" t="s">
        <v>125</v>
      </c>
      <c r="H14" s="6" t="b">
        <v>0</v>
      </c>
    </row>
    <row r="15" spans="1:11" ht="48" x14ac:dyDescent="0.2">
      <c r="A15" s="8" t="s">
        <v>85</v>
      </c>
      <c r="B15" s="2" t="s">
        <v>126</v>
      </c>
      <c r="C15" s="2" t="s">
        <v>127</v>
      </c>
      <c r="D15" s="10" t="s">
        <v>128</v>
      </c>
      <c r="E15" s="10" t="s">
        <v>129</v>
      </c>
      <c r="F15" s="10" t="s">
        <v>130</v>
      </c>
      <c r="G15" s="10" t="s">
        <v>131</v>
      </c>
      <c r="H15" s="6" t="b">
        <v>0</v>
      </c>
    </row>
    <row r="16" spans="1:11" ht="48" x14ac:dyDescent="0.2">
      <c r="A16" s="8" t="s">
        <v>85</v>
      </c>
      <c r="B16" s="2" t="s">
        <v>132</v>
      </c>
      <c r="C16" s="2" t="s">
        <v>133</v>
      </c>
      <c r="D16" s="10" t="s">
        <v>134</v>
      </c>
      <c r="E16" s="10" t="s">
        <v>135</v>
      </c>
      <c r="F16" s="12" t="s">
        <v>136</v>
      </c>
      <c r="G16" s="12" t="s">
        <v>137</v>
      </c>
      <c r="H16" s="6" t="b">
        <v>0</v>
      </c>
    </row>
    <row r="17" spans="1:8" ht="32" x14ac:dyDescent="0.2">
      <c r="A17" s="8" t="s">
        <v>85</v>
      </c>
      <c r="B17" s="2" t="s">
        <v>138</v>
      </c>
      <c r="C17" s="2" t="s">
        <v>139</v>
      </c>
      <c r="D17" s="10" t="s">
        <v>140</v>
      </c>
      <c r="E17" s="12" t="s">
        <v>141</v>
      </c>
      <c r="F17" s="10" t="s">
        <v>142</v>
      </c>
      <c r="G17" s="13" t="s">
        <v>143</v>
      </c>
      <c r="H17" s="6" t="b">
        <v>0</v>
      </c>
    </row>
    <row r="18" spans="1:8" ht="48" x14ac:dyDescent="0.2">
      <c r="A18" s="8" t="s">
        <v>145</v>
      </c>
      <c r="B18" s="2" t="s">
        <v>212</v>
      </c>
      <c r="C18" s="2" t="s">
        <v>146</v>
      </c>
      <c r="D18" s="10" t="s">
        <v>147</v>
      </c>
      <c r="E18" s="10" t="s">
        <v>148</v>
      </c>
      <c r="F18" s="10" t="s">
        <v>214</v>
      </c>
      <c r="G18" s="10" t="s">
        <v>214</v>
      </c>
      <c r="H18" s="6" t="b">
        <v>0</v>
      </c>
    </row>
    <row r="19" spans="1:8" ht="48" x14ac:dyDescent="0.2">
      <c r="A19" s="8" t="s">
        <v>145</v>
      </c>
      <c r="B19" s="2" t="s">
        <v>149</v>
      </c>
      <c r="C19" s="2" t="s">
        <v>150</v>
      </c>
      <c r="D19" s="10" t="s">
        <v>151</v>
      </c>
      <c r="E19" s="10" t="s">
        <v>152</v>
      </c>
      <c r="F19" s="10" t="s">
        <v>214</v>
      </c>
      <c r="G19" s="10" t="s">
        <v>214</v>
      </c>
      <c r="H19" s="6" t="b">
        <v>0</v>
      </c>
    </row>
    <row r="20" spans="1:8" ht="32" x14ac:dyDescent="0.2">
      <c r="A20" s="8" t="s">
        <v>145</v>
      </c>
      <c r="B20" s="2" t="s">
        <v>153</v>
      </c>
      <c r="C20" s="2" t="s">
        <v>154</v>
      </c>
      <c r="D20" s="12" t="s">
        <v>155</v>
      </c>
      <c r="E20" s="12" t="s">
        <v>156</v>
      </c>
      <c r="F20" s="10" t="s">
        <v>214</v>
      </c>
      <c r="G20" s="10" t="s">
        <v>214</v>
      </c>
      <c r="H20" s="6" t="b">
        <v>0</v>
      </c>
    </row>
    <row r="21" spans="1:8" ht="32" x14ac:dyDescent="0.2">
      <c r="A21" s="8" t="s">
        <v>145</v>
      </c>
      <c r="B21" s="2" t="s">
        <v>157</v>
      </c>
      <c r="C21" s="2" t="s">
        <v>158</v>
      </c>
      <c r="D21" s="12" t="s">
        <v>159</v>
      </c>
      <c r="E21" s="12" t="s">
        <v>160</v>
      </c>
      <c r="F21" s="10" t="s">
        <v>214</v>
      </c>
      <c r="G21" s="10" t="s">
        <v>214</v>
      </c>
      <c r="H21" s="6" t="b">
        <v>0</v>
      </c>
    </row>
    <row r="22" spans="1:8" ht="64" x14ac:dyDescent="0.2">
      <c r="A22" s="8" t="s">
        <v>145</v>
      </c>
      <c r="B22" s="2" t="s">
        <v>161</v>
      </c>
      <c r="C22" s="2" t="s">
        <v>162</v>
      </c>
      <c r="D22" s="12" t="s">
        <v>163</v>
      </c>
      <c r="E22" s="12" t="s">
        <v>164</v>
      </c>
      <c r="F22" s="12" t="s">
        <v>165</v>
      </c>
      <c r="G22" s="13" t="s">
        <v>166</v>
      </c>
      <c r="H22" s="6" t="b">
        <v>0</v>
      </c>
    </row>
    <row r="23" spans="1:8" ht="80" x14ac:dyDescent="0.2">
      <c r="A23" s="8" t="s">
        <v>145</v>
      </c>
      <c r="B23" s="2" t="s">
        <v>167</v>
      </c>
      <c r="C23" s="2" t="s">
        <v>168</v>
      </c>
      <c r="D23" s="12" t="s">
        <v>169</v>
      </c>
      <c r="E23" s="12" t="s">
        <v>170</v>
      </c>
      <c r="F23" s="12" t="s">
        <v>171</v>
      </c>
      <c r="G23" s="13" t="s">
        <v>172</v>
      </c>
      <c r="H23" s="6" t="b">
        <v>0</v>
      </c>
    </row>
    <row r="24" spans="1:8" ht="96" x14ac:dyDescent="0.2">
      <c r="A24" s="8" t="s">
        <v>145</v>
      </c>
      <c r="B24" s="2" t="s">
        <v>173</v>
      </c>
      <c r="C24" s="2" t="s">
        <v>174</v>
      </c>
      <c r="D24" s="12" t="s">
        <v>175</v>
      </c>
      <c r="E24" s="12" t="s">
        <v>176</v>
      </c>
      <c r="F24" s="12" t="s">
        <v>177</v>
      </c>
      <c r="G24" s="13" t="s">
        <v>178</v>
      </c>
      <c r="H24" s="6" t="b">
        <v>0</v>
      </c>
    </row>
    <row r="25" spans="1:8" ht="48" x14ac:dyDescent="0.2">
      <c r="A25" s="8" t="s">
        <v>145</v>
      </c>
      <c r="B25" s="2" t="s">
        <v>179</v>
      </c>
      <c r="C25" s="2" t="s">
        <v>180</v>
      </c>
      <c r="D25" s="12" t="s">
        <v>181</v>
      </c>
      <c r="E25" s="12" t="s">
        <v>182</v>
      </c>
      <c r="F25" s="12" t="s">
        <v>183</v>
      </c>
      <c r="G25" s="13" t="s">
        <v>184</v>
      </c>
      <c r="H25" s="6" t="b">
        <v>0</v>
      </c>
    </row>
    <row r="26" spans="1:8" ht="48" x14ac:dyDescent="0.2">
      <c r="A26" s="8" t="s">
        <v>145</v>
      </c>
      <c r="B26" s="2" t="s">
        <v>185</v>
      </c>
      <c r="C26" s="2" t="s">
        <v>186</v>
      </c>
      <c r="D26" s="10" t="s">
        <v>187</v>
      </c>
      <c r="E26" s="10" t="s">
        <v>188</v>
      </c>
      <c r="F26" s="10" t="s">
        <v>189</v>
      </c>
      <c r="G26" s="11" t="s">
        <v>190</v>
      </c>
      <c r="H26" s="6" t="b">
        <v>0</v>
      </c>
    </row>
    <row r="27" spans="1:8" ht="32" x14ac:dyDescent="0.2">
      <c r="A27" s="8" t="s">
        <v>145</v>
      </c>
      <c r="B27" s="2" t="s">
        <v>191</v>
      </c>
      <c r="C27" s="2" t="s">
        <v>192</v>
      </c>
      <c r="D27" s="12" t="s">
        <v>193</v>
      </c>
      <c r="E27" s="12" t="s">
        <v>194</v>
      </c>
      <c r="F27" s="12" t="s">
        <v>195</v>
      </c>
      <c r="G27" s="13" t="s">
        <v>196</v>
      </c>
      <c r="H27" s="6" t="b">
        <v>0</v>
      </c>
    </row>
    <row r="28" spans="1:8" ht="51" x14ac:dyDescent="0.2">
      <c r="A28" s="8" t="s">
        <v>197</v>
      </c>
      <c r="B28" s="14" t="s">
        <v>198</v>
      </c>
      <c r="C28" s="15" t="s">
        <v>199</v>
      </c>
      <c r="D28" s="10" t="s">
        <v>200</v>
      </c>
      <c r="E28" s="10" t="s">
        <v>201</v>
      </c>
      <c r="F28" s="10" t="s">
        <v>202</v>
      </c>
      <c r="G28" s="11" t="s">
        <v>203</v>
      </c>
      <c r="H28" s="6" t="b">
        <v>0</v>
      </c>
    </row>
  </sheetData>
  <pageMargins left="0.7" right="0.7" top="0.75" bottom="0.75" header="0.3" footer="0.3"/>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3</vt:i4>
      </vt:variant>
    </vt:vector>
  </HeadingPairs>
  <TitlesOfParts>
    <vt:vector size="3" baseType="lpstr">
      <vt:lpstr>Plan de Acción</vt:lpstr>
      <vt:lpstr>Plan DB</vt:lpstr>
      <vt:lpstr>Acciones DB</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Octavio Vera Tornero</cp:lastModifiedBy>
  <dcterms:created xsi:type="dcterms:W3CDTF">2020-08-17T16:45:10Z</dcterms:created>
  <dcterms:modified xsi:type="dcterms:W3CDTF">2020-12-22T19:11:42Z</dcterms:modified>
</cp:coreProperties>
</file>